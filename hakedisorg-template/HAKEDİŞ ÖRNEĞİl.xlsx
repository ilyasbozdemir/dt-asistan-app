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ÖN KAPAK" sheetId="1" r:id="rId1"/>
    <sheet name="İCMAL" sheetId="2" r:id="rId2"/>
    <sheet name="HAKEDİŞ ÖZETİ" sheetId="3" r:id="rId3"/>
    <sheet name="YAPILAN İŞLER LİSTESİ" sheetId="4" r:id="rId4"/>
    <sheet name="ARKA KAPAK" sheetId="5" r:id="rId5"/>
    <sheet name="SİGORTA POLİÇE FORMU" sheetId="6" state="hidden" r:id="rId6"/>
    <sheet name="DENGELEME CETVELİ" sheetId="7" state="hidden" r:id="rId7"/>
  </sheets>
  <definedNames>
    <definedName name="_xlnm.Print_Area" localSheetId="4">'ARKA KAPAK'!$A$1:$I$30</definedName>
    <definedName name="_xlnm.Print_Area" localSheetId="2">'HAKEDİŞ ÖZETİ'!$A$1:$L$37</definedName>
    <definedName name="_xlnm.Print_Area" localSheetId="1">İCMAL!$A$1:$E$42</definedName>
    <definedName name="_xlnm.Print_Area" localSheetId="0">'ÖN KAPAK'!$A$1:$M$49</definedName>
    <definedName name="_xlnm.Print_Area" localSheetId="3">'YAPILAN İŞLER LİSTESİ'!$A$1:$K$21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<sst xmlns="http://schemas.openxmlformats.org/spreadsheetml/2006/main" count="294" uniqueCount="185">
  <si>
    <t>x  BELEDİYESİ</t>
  </si>
  <si>
    <t>HAKEDİŞ RAPORU</t>
  </si>
  <si>
    <t xml:space="preserve">Tarihi           </t>
  </si>
  <si>
    <t>:</t>
  </si>
  <si>
    <t>No.su</t>
  </si>
  <si>
    <t>Uygulama Yılı</t>
  </si>
  <si>
    <t>Yapılan İşin / Hizmetin Adı</t>
  </si>
  <si>
    <t>10 adet işyerinin Tesviye Beton Atımı 2</t>
  </si>
  <si>
    <t>Yapılan İşin / Hizmetin Etüt / Proje No.su</t>
  </si>
  <si>
    <t>Yüklenicinin Adı / Ticari Unvanı</t>
  </si>
  <si>
    <t>Hazır Beton Çimento Mak.San.ve Tic.Ltd.Şti.</t>
  </si>
  <si>
    <t>Sözleşme Bedeli</t>
  </si>
  <si>
    <t>İş azalışı</t>
  </si>
  <si>
    <t>İş artışı Sözleşme Bedeli</t>
  </si>
  <si>
    <t>Toplam Bedel</t>
  </si>
  <si>
    <t>İhale Tarihi</t>
  </si>
  <si>
    <t>Sözleşme Tarihi ve No.su</t>
  </si>
  <si>
    <t>No :</t>
  </si>
  <si>
    <t>Sözleşmenin Sayıştayca Tescil Tar., No.su</t>
  </si>
  <si>
    <t xml:space="preserve">..../..../....       ........................... sayı </t>
  </si>
  <si>
    <t>Tescilin Yükleniciye Tebliğ Tarihi</t>
  </si>
  <si>
    <t>İşyeri Teslim Tarihi</t>
  </si>
  <si>
    <t>Sözleşmeye Göre İşin Süresi</t>
  </si>
  <si>
    <t>Sözleşmeye Göre İş Bitim Tarihi</t>
  </si>
  <si>
    <t>Verilen Avanslar Toplamı</t>
  </si>
  <si>
    <t>Mahsubu Yapılan Avansın Toplam Tutarı</t>
  </si>
  <si>
    <t>Sözleşme Artış Onayının Tarih / No.su</t>
  </si>
  <si>
    <t>Ek Sözleşme Bedeli</t>
  </si>
  <si>
    <t>Toplam Sözleşme Bedeli</t>
  </si>
  <si>
    <t>…………………….</t>
  </si>
  <si>
    <t>Süre Uzatım Kararlarının Tarihi</t>
  </si>
  <si>
    <t>Sayısı</t>
  </si>
  <si>
    <t>Verilen Süre</t>
  </si>
  <si>
    <t>İş Bitim Tarihi</t>
  </si>
  <si>
    <t>HAKEDİŞ İCMALİ</t>
  </si>
  <si>
    <t>Sayfa No: 1</t>
  </si>
  <si>
    <t>Hakediş No: 1</t>
  </si>
  <si>
    <t>Sıra No:</t>
  </si>
  <si>
    <t>İşin Cinsi</t>
  </si>
  <si>
    <t>İş Tutarı                    (a)</t>
  </si>
  <si>
    <t>Fiyat Farkı Tutarı     (b)</t>
  </si>
  <si>
    <t>Toplam                (a+b)</t>
  </si>
  <si>
    <t>İnşaat İmalatları</t>
  </si>
  <si>
    <t>A</t>
  </si>
  <si>
    <t xml:space="preserve">TOPLAM     </t>
  </si>
  <si>
    <t>Hakediş içeriğinden Yapılan Kesintiler</t>
  </si>
  <si>
    <t xml:space="preserve">                a) Bir evvelki Hakedişten Yapılan Kesintiler</t>
  </si>
  <si>
    <t xml:space="preserve">                b) Bu Hakedişten Yapılan Kesintiler</t>
  </si>
  <si>
    <t>B</t>
  </si>
  <si>
    <t xml:space="preserve">Toplam Kesinti Tutarı </t>
  </si>
  <si>
    <t>C</t>
  </si>
  <si>
    <t xml:space="preserve">Toplam Hakediş Tutarı : ( A - B )   </t>
  </si>
  <si>
    <t>YÜKLENİCİ</t>
  </si>
  <si>
    <t>KONTROLLER</t>
  </si>
  <si>
    <t>ONAY</t>
  </si>
  <si>
    <t>xxx
 BELEDİYE BAŞKANI</t>
  </si>
  <si>
    <t xml:space="preserve">HAKEDİŞ ÖZETİ  </t>
  </si>
  <si>
    <t>Sayfa No: 2</t>
  </si>
  <si>
    <t>Hak. No:</t>
  </si>
  <si>
    <t>Hakediş Tarihi</t>
  </si>
  <si>
    <t xml:space="preserve">Hakediş Tutarı (Kümülatif)
(a)              </t>
  </si>
  <si>
    <t>Bir Önceki Hakediş Tutarı  (Kümülatif)                    (b)</t>
  </si>
  <si>
    <t>Uygulama Ayları Hakediş Tutarı
c=a-b</t>
  </si>
  <si>
    <t>Avans Kesintisi  (d)</t>
  </si>
  <si>
    <t>Uygulama Ayları Fiyat Farkına Esas Tutar
An=c-d</t>
  </si>
  <si>
    <t>Dönem Fiyat Farkı Katsayısı
Bx(Pn-1)</t>
  </si>
  <si>
    <t>Dönem Fiyat Farkı Tutarı 
F=AnxBx(Pn-1)</t>
  </si>
  <si>
    <t>Toplam Hakediş Tutarı
c + F</t>
  </si>
  <si>
    <t>TOPLAM =</t>
  </si>
  <si>
    <t>HALİS ERDOĞAN                                                                                FEN İŞLERİ MÜDÜR V</t>
  </si>
  <si>
    <t>AHMET ARI (BELEDİYE BAŞKANI)</t>
  </si>
  <si>
    <t>SAYFA NO : 3</t>
  </si>
  <si>
    <t>Hakediş No:1</t>
  </si>
  <si>
    <t>C= (AxB)</t>
  </si>
  <si>
    <t>D</t>
  </si>
  <si>
    <t>E= (AxD)</t>
  </si>
  <si>
    <t>F= (B-D)</t>
  </si>
  <si>
    <t>G= (AxF)</t>
  </si>
  <si>
    <t xml:space="preserve">İş Programı 
Grubu % si </t>
  </si>
  <si>
    <t>Yapılan İş</t>
  </si>
  <si>
    <t>Gerçekleşen Toplam İmalat % si</t>
  </si>
  <si>
    <t xml:space="preserve">Toplam İmalat 
Tutarı </t>
  </si>
  <si>
    <t xml:space="preserve"> Önceki Hakediş Toplam İmalat % si</t>
  </si>
  <si>
    <t xml:space="preserve"> Önceki Hakediş Toplam İmalat Tutarı</t>
  </si>
  <si>
    <t xml:space="preserve">Bu Hakediş 
İmalat % si </t>
  </si>
  <si>
    <t>Bu  Hakediş İmalat Tutarı</t>
  </si>
  <si>
    <t>Tüm İşler</t>
  </si>
  <si>
    <t>MALZEME</t>
  </si>
  <si>
    <t>Hazır Beton (C25)</t>
  </si>
  <si>
    <t>TOPLAM</t>
  </si>
  <si>
    <t>AHMET ARI                                                                                                                                              BELEDİYE BAŞKANI                                                                                                                                      ONAY</t>
  </si>
  <si>
    <t>HALİS ERDOĞAN                                                                                                    FEN İŞLERİ MÜDÜR VEKİLİ</t>
  </si>
  <si>
    <t xml:space="preserve"> HAKEDİŞ RAPORU</t>
  </si>
  <si>
    <t>İŞİN ADI:</t>
  </si>
  <si>
    <t>Hakediş No :1</t>
  </si>
  <si>
    <t>İLE</t>
  </si>
  <si>
    <t>TARİHİNE KADAR YAPILAN İŞİN / HİZMETİN</t>
  </si>
  <si>
    <t>Sözleşme Fiyatları İle Yapılan İş / Hizmet Tutarı</t>
  </si>
  <si>
    <t>¨</t>
  </si>
  <si>
    <t>Fiyat Farkı Tutarı</t>
  </si>
  <si>
    <t>Toplam Tutar   ( A + B )</t>
  </si>
  <si>
    <t>Bir Önceki Hakedişin Toplam tutarı</t>
  </si>
  <si>
    <t>E</t>
  </si>
  <si>
    <t>Bu Hakedişin Tutarı ( C - D )</t>
  </si>
  <si>
    <t>F</t>
  </si>
  <si>
    <t>KDV  ( E x %20)</t>
  </si>
  <si>
    <t>G</t>
  </si>
  <si>
    <t>Tahakkuk Tutarı</t>
  </si>
  <si>
    <t>KESİNTİLER VE MAHSUPLAR</t>
  </si>
  <si>
    <t xml:space="preserve"> a) Gelir / Kurumlar Vergisi ( E x %)</t>
  </si>
  <si>
    <t xml:space="preserve"> b) Damga Vergisi  ( E x 0,00948 )</t>
  </si>
  <si>
    <t xml:space="preserve"> c) KDV Tevkifatı ( F x 3/10)</t>
  </si>
  <si>
    <t xml:space="preserve"> d) Sosyal Sigortalar Kurumu Kesintisi</t>
  </si>
  <si>
    <t xml:space="preserve"> e) İdare Makinesi Kiraları</t>
  </si>
  <si>
    <t xml:space="preserve"> f) Gecikme Cezası </t>
  </si>
  <si>
    <t xml:space="preserve"> g) Avans Mahsubu</t>
  </si>
  <si>
    <t xml:space="preserve"> h) Bu Hakedişle Ödenen Fiyat Farkı Teminat Kesintisi</t>
  </si>
  <si>
    <t>i) Geçici Kabul Kesintisi (%3)</t>
  </si>
  <si>
    <t>H</t>
  </si>
  <si>
    <t>Kesintiler ve Mahsuplar Toplamı</t>
  </si>
  <si>
    <t>I</t>
  </si>
  <si>
    <t>Yükleniciye Ödenecek Tutar  ( G - H )</t>
  </si>
  <si>
    <t>Yalnız:</t>
  </si>
  <si>
    <t>MÜTEAHHİT</t>
  </si>
  <si>
    <t xml:space="preserve">DÜZENLEYENLER </t>
  </si>
  <si>
    <t>Kontrol Üyesi</t>
  </si>
  <si>
    <t>HALİS ERDOĞAN                                                     FEN İŞLERİ MÜDÜR VEKİLİ</t>
  </si>
  <si>
    <t xml:space="preserve">AHMET ARI                                                                                                                     BELEDİYE BAŞKANI                                                                                                  </t>
  </si>
  <si>
    <t>BÜTÜN RİSKLER SİGORTA POLİÇELERİ</t>
  </si>
  <si>
    <t>KONTROL FORMU</t>
  </si>
  <si>
    <t>İşin Adı:</t>
  </si>
  <si>
    <t xml:space="preserve">GÜNEYYURT BELEDİYESİ, 205 Ada, 2 PARSEL İŞ MERKEZİ 2 VE 3. KAT KALIP VE DEMİR İŞÇİLİĞİ </t>
  </si>
  <si>
    <t>İdare Adı:</t>
  </si>
  <si>
    <t>GÜNEYYURT BELEDİYESİ</t>
  </si>
  <si>
    <t>Yüklenici Adı:</t>
  </si>
  <si>
    <t>YAKUP ÇENGEL İNŞAAT VE TAAHHÜT İŞLERİ</t>
  </si>
  <si>
    <t>Sözleşme Bedeli (iş artışı dahil):</t>
  </si>
  <si>
    <t>Sigorta Yapan Şirket:</t>
  </si>
  <si>
    <t>NEOVA SİGORTA - 10-3-0342085</t>
  </si>
  <si>
    <t>Sigorta Poliçe No:</t>
  </si>
  <si>
    <t>İşin Başlama Tarihi (Yer Teslim Tarihi):</t>
  </si>
  <si>
    <t>İşin Son Bitim Tarihi :</t>
  </si>
  <si>
    <t>Sigorta Başlangıç Tarihi:</t>
  </si>
  <si>
    <t>İşin Teminat Süresi:</t>
  </si>
  <si>
    <t>180 GÜN</t>
  </si>
  <si>
    <t>Bakım/İşletme Dönemi Bitim Tarihi:</t>
  </si>
  <si>
    <t>SİGORTA TUTARI KONTROL CETVELİ</t>
  </si>
  <si>
    <t>Hakediş No</t>
  </si>
  <si>
    <t>Toplam Hakediş Tutarı (KDV Hariç)(TL)</t>
  </si>
  <si>
    <t>Toplam Fiyat Farkı(TL)</t>
  </si>
  <si>
    <t>Varsa İdare Malı Tutarı (KDV hariç)(TL)</t>
  </si>
  <si>
    <t>Sigortalanması Gereken Tutar (KDV hariç)(TL)</t>
  </si>
  <si>
    <t>Sigorta Poliçe Tutarı (TL)</t>
  </si>
  <si>
    <t>Sigorta Bakiyesi (TL)</t>
  </si>
  <si>
    <t>(A)</t>
  </si>
  <si>
    <t>(B)</t>
  </si>
  <si>
    <t>( C )</t>
  </si>
  <si>
    <t>D=A+B+C</t>
  </si>
  <si>
    <t>( E )</t>
  </si>
  <si>
    <t>F=E-D</t>
  </si>
  <si>
    <t>Yapılan incelemede Sigorta Poliçesinde, idarenin işveren sıfatıyla,yüklenicinin işi gerçekleştiren sıfatıyla yer aldığı varsa altyüklenicinin vereceği zararların teminat kapsamında dahil edildiği, üçüncü kişilerin kendilerine veya mallarına zarar vermesi ihtimaline karşı mali mesuliyet sigortasının yaptırıldığı süre ve muafiyetler ile sigortaya esas alınacak bedeller yönünden şartname hükümlerine ve/veya sigorta mevzuatına uygun olduğu;</t>
  </si>
  <si>
    <t>Ayrıca sigorta PRİM ödendiği ve sigortanın, yürürlükte olduğuna ilişkin belgenin ekte ve uygun olduğu tespit edilmiştir.</t>
  </si>
  <si>
    <t>KONTROL</t>
  </si>
  <si>
    <t>HASAN EROĞLU                                                      ELEKTRİK TEKNİKERİ</t>
  </si>
  <si>
    <t>AHMET ARI                                    BELEDİYE BAŞKANI</t>
  </si>
  <si>
    <t>HAKEDİŞ DENGELEME CETVELİ</t>
  </si>
  <si>
    <t xml:space="preserve">GÜNEYYURT BELEDİYESİ, 205 Ada, 2 PARSEL İŞ MERKEZİ 2 VE 3. KAT KALIP VE DEMİR İŞÇİLİĞİ  </t>
  </si>
  <si>
    <t>HAKEDİŞ NO</t>
  </si>
  <si>
    <t>HAKEDİŞ TARİHİ</t>
  </si>
  <si>
    <t>HAKEDİŞ TUTARI %3 KESİNTİSİZ</t>
  </si>
  <si>
    <t>GEÇİCİ KABULDE ÖDENECEK</t>
  </si>
  <si>
    <t>HAKEDİŞ TUTARI (%3 KESİNTİLİ)</t>
  </si>
  <si>
    <t>HAKEDİŞ TUTARI (%3 KESİNTİSİZ)</t>
  </si>
  <si>
    <t>KDV (%20)</t>
  </si>
  <si>
    <t>TOPLAM HAKEDİŞ</t>
  </si>
  <si>
    <t>KESİNTİLER TOPLAMI</t>
  </si>
  <si>
    <t>CEZA</t>
  </si>
  <si>
    <t>KESİNTİ TOPLAMI</t>
  </si>
  <si>
    <t>NET ÖDEME TUTARI</t>
  </si>
  <si>
    <t>TUTAR %3</t>
  </si>
  <si>
    <t>KÜMÜLATİF</t>
  </si>
  <si>
    <t>C=(A+B)</t>
  </si>
  <si>
    <t xml:space="preserve">  ONAY</t>
  </si>
  <si>
    <t>HALİS ERDOĞAN                                                                                                                                              FEN İŞLERİ MÜDÜR VEKİLİ</t>
  </si>
  <si>
    <t>AHMET ARI                                                                                                   BELEDİYE BAŞKANI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</si>
</sst>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0.00\ &quot;TL&quot;"/>
    <numFmt numFmtId="179" formatCode="dd/mm/yyyy;@"/>
    <numFmt numFmtId="180" formatCode="#,##0.00\ &quot;¨&quot;"/>
    <numFmt numFmtId="181" formatCode="#,##0.00\ &quot;YTL&quot;"/>
    <numFmt numFmtId="182" formatCode="#,##0.0000"/>
    <numFmt numFmtId="183" formatCode="%\ 0.0000"/>
    <numFmt numFmtId="184" formatCode="0.000000"/>
    <numFmt numFmtId="185" formatCode="&quot;₺&quot;#,##0.00"/>
    <numFmt numFmtId="186" formatCode="0.0000"/>
    <numFmt numFmtId="187" formatCode="00000"/>
  </numFmts>
  <fonts count="57">
    <font>
      <sz val="11"/>
      <color theme="1"/>
      <name val="Calibri"/>
      <charset val="134"/>
      <scheme val="minor"/>
    </font>
    <font>
      <sz val="11"/>
      <color theme="1"/>
      <name val="Times New Roman"/>
      <charset val="162"/>
    </font>
    <font>
      <sz val="14"/>
      <color theme="1"/>
      <name val="Times New Roman"/>
      <charset val="162"/>
    </font>
    <font>
      <b/>
      <sz val="9"/>
      <color indexed="8"/>
      <name val="Times New Roman"/>
      <charset val="162"/>
    </font>
    <font>
      <b/>
      <sz val="11"/>
      <color theme="1"/>
      <name val="Times New Roman"/>
      <charset val="162"/>
    </font>
    <font>
      <sz val="12"/>
      <color theme="1"/>
      <name val="Times New Roman"/>
      <charset val="162"/>
    </font>
    <font>
      <b/>
      <sz val="12"/>
      <name val="Times New Roman"/>
      <charset val="162"/>
    </font>
    <font>
      <b/>
      <sz val="9"/>
      <name val="Arial"/>
      <charset val="162"/>
    </font>
    <font>
      <b/>
      <sz val="8"/>
      <name val="Arial"/>
      <charset val="162"/>
    </font>
    <font>
      <sz val="10"/>
      <name val="Times New Roman"/>
      <charset val="162"/>
    </font>
    <font>
      <b/>
      <sz val="10"/>
      <name val="Times New Roman"/>
      <charset val="162"/>
    </font>
    <font>
      <sz val="12"/>
      <name val="Times New Roman"/>
      <charset val="162"/>
    </font>
    <font>
      <b/>
      <sz val="11"/>
      <name val="Times New Roman"/>
      <charset val="162"/>
    </font>
    <font>
      <b/>
      <sz val="11"/>
      <name val="Helv"/>
      <charset val="162"/>
    </font>
    <font>
      <sz val="10"/>
      <name val="AbakuTLSymSans"/>
      <charset val="162"/>
    </font>
    <font>
      <b/>
      <sz val="10"/>
      <name val="AbakuTLSymSans"/>
      <charset val="162"/>
    </font>
    <font>
      <b/>
      <sz val="14"/>
      <name val="Times New Roman"/>
      <charset val="162"/>
    </font>
    <font>
      <sz val="11"/>
      <name val="Times New Roman"/>
      <charset val="162"/>
    </font>
    <font>
      <sz val="16"/>
      <name val="Times New Roman"/>
      <charset val="162"/>
    </font>
    <font>
      <sz val="14"/>
      <name val="Times New Roman"/>
      <charset val="162"/>
    </font>
    <font>
      <b/>
      <sz val="9"/>
      <name val="Times New Roman"/>
      <charset val="162"/>
    </font>
    <font>
      <sz val="10"/>
      <color theme="1"/>
      <name val="Times New Roman"/>
      <charset val="162"/>
    </font>
    <font>
      <sz val="8"/>
      <name val="Times New Roman"/>
      <charset val="162"/>
    </font>
    <font>
      <b/>
      <sz val="14"/>
      <color indexed="8"/>
      <name val="Times New Roman"/>
      <charset val="162"/>
    </font>
    <font>
      <b/>
      <sz val="12"/>
      <color indexed="8"/>
      <name val="Times New Roman"/>
      <charset val="162"/>
    </font>
    <font>
      <b/>
      <sz val="10"/>
      <color indexed="8"/>
      <name val="Times New Roman"/>
      <charset val="162"/>
    </font>
    <font>
      <sz val="8"/>
      <color indexed="8"/>
      <name val="Times New Roman"/>
      <charset val="162"/>
    </font>
    <font>
      <b/>
      <u/>
      <sz val="12"/>
      <name val="Times New Roman"/>
      <charset val="162"/>
    </font>
    <font>
      <sz val="10"/>
      <color indexed="8"/>
      <name val="Times New Roman"/>
      <charset val="162"/>
    </font>
    <font>
      <sz val="13"/>
      <name val="Times New Roman"/>
      <charset val="162"/>
    </font>
    <font>
      <b/>
      <sz val="13"/>
      <name val="Times New Roman"/>
      <charset val="162"/>
    </font>
    <font>
      <b/>
      <sz val="8"/>
      <name val="Times New Roman"/>
      <charset val="162"/>
    </font>
    <font>
      <u/>
      <sz val="10"/>
      <name val="Times New Roman"/>
      <charset val="162"/>
    </font>
    <font>
      <u val="double"/>
      <sz val="10"/>
      <name val="Times New Roman"/>
      <charset val="162"/>
    </font>
    <font>
      <sz val="6.5"/>
      <name val="Times New Roman"/>
      <charset val="162"/>
    </font>
    <font>
      <sz val="9"/>
      <name val="Times New Roman"/>
      <charset val="162"/>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62"/>
    </font>
    <font>
      <sz val="10"/>
      <name val="Helv"/>
      <charset val="204"/>
    </font>
  </fonts>
  <fills count="35">
    <fill>
      <patternFill patternType="none"/>
    </fill>
    <fill>
      <patternFill patternType="gray125"/>
    </fill>
    <fill>
      <patternFill patternType="solid">
        <fgColor theme="0" tint="-0.149998474074526"/>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double">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hair">
        <color auto="1"/>
      </bottom>
      <diagonal/>
    </border>
    <border>
      <left/>
      <right/>
      <top style="medium">
        <color auto="1"/>
      </top>
      <bottom style="hair">
        <color auto="1"/>
      </bottom>
      <diagonal/>
    </border>
    <border>
      <left style="thin">
        <color auto="1"/>
      </left>
      <right/>
      <top style="medium">
        <color auto="1"/>
      </top>
      <bottom/>
      <diagonal/>
    </border>
    <border>
      <left style="medium">
        <color auto="1"/>
      </left>
      <right style="thin">
        <color auto="1"/>
      </right>
      <top style="hair">
        <color auto="1"/>
      </top>
      <bottom style="hair">
        <color auto="1"/>
      </bottom>
      <diagonal/>
    </border>
    <border>
      <left/>
      <right/>
      <top style="hair">
        <color auto="1"/>
      </top>
      <bottom style="hair">
        <color auto="1"/>
      </bottom>
      <diagonal/>
    </border>
    <border>
      <left style="thin">
        <color auto="1"/>
      </left>
      <right/>
      <top style="dashed">
        <color auto="1"/>
      </top>
      <bottom style="dashed">
        <color auto="1"/>
      </bottom>
      <diagonal/>
    </border>
    <border>
      <left/>
      <right/>
      <top style="dashed">
        <color auto="1"/>
      </top>
      <bottom style="dashed">
        <color auto="1"/>
      </bottom>
      <diagonal/>
    </border>
    <border>
      <left style="medium">
        <color auto="1"/>
      </left>
      <right style="thin">
        <color auto="1"/>
      </right>
      <top style="hair">
        <color auto="1"/>
      </top>
      <bottom style="medium">
        <color auto="1"/>
      </bottom>
      <diagonal/>
    </border>
    <border>
      <left/>
      <right/>
      <top style="hair">
        <color auto="1"/>
      </top>
      <bottom style="medium">
        <color auto="1"/>
      </bottom>
      <diagonal/>
    </border>
    <border>
      <left style="thin">
        <color auto="1"/>
      </left>
      <right/>
      <top style="dashed">
        <color auto="1"/>
      </top>
      <bottom style="medium">
        <color auto="1"/>
      </bottom>
      <diagonal/>
    </border>
    <border>
      <left/>
      <right/>
      <top style="dashed">
        <color auto="1"/>
      </top>
      <bottom style="medium">
        <color auto="1"/>
      </bottom>
      <diagonal/>
    </border>
    <border>
      <left style="medium">
        <color auto="1"/>
      </left>
      <right style="thin">
        <color auto="1"/>
      </right>
      <top/>
      <bottom/>
      <diagonal/>
    </border>
    <border>
      <left style="thin">
        <color auto="1"/>
      </left>
      <right style="thin">
        <color auto="1"/>
      </right>
      <top style="medium">
        <color auto="1"/>
      </top>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dashed">
        <color auto="1"/>
      </top>
      <bottom/>
      <diagonal/>
    </border>
    <border>
      <left/>
      <right/>
      <top style="dashed">
        <color auto="1"/>
      </top>
      <bottom/>
      <diagonal/>
    </border>
    <border>
      <left style="thin">
        <color auto="1"/>
      </left>
      <right style="thin">
        <color auto="1"/>
      </right>
      <top/>
      <bottom style="medium">
        <color auto="1"/>
      </bottom>
      <diagonal/>
    </border>
    <border>
      <left style="thin">
        <color auto="1"/>
      </left>
      <right/>
      <top style="hair">
        <color auto="1"/>
      </top>
      <bottom style="medium">
        <color auto="1"/>
      </bottom>
      <diagonal/>
    </border>
    <border>
      <left/>
      <right style="thin">
        <color auto="1"/>
      </right>
      <top style="hair">
        <color auto="1"/>
      </top>
      <bottom style="medium">
        <color auto="1"/>
      </bottom>
      <diagonal/>
    </border>
    <border>
      <left style="medium">
        <color auto="1"/>
      </left>
      <right style="thin">
        <color auto="1"/>
      </right>
      <top style="thin">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ashed">
        <color auto="1"/>
      </bottom>
      <diagonal/>
    </border>
    <border>
      <left/>
      <right/>
      <top style="medium">
        <color auto="1"/>
      </top>
      <bottom style="dashed">
        <color auto="1"/>
      </bottom>
      <diagonal/>
    </border>
    <border>
      <left style="medium">
        <color auto="1"/>
      </left>
      <right style="thin">
        <color auto="1"/>
      </right>
      <top style="hair">
        <color auto="1"/>
      </top>
      <bottom/>
      <diagonal/>
    </border>
    <border>
      <left/>
      <right/>
      <top style="hair">
        <color auto="1"/>
      </top>
      <bottom/>
      <diagonal/>
    </border>
    <border>
      <left style="medium">
        <color auto="1"/>
      </left>
      <right/>
      <top/>
      <bottom style="medium">
        <color auto="1"/>
      </bottom>
      <diagonal/>
    </border>
    <border>
      <left/>
      <right style="medium">
        <color auto="1"/>
      </right>
      <top style="medium">
        <color auto="1"/>
      </top>
      <bottom style="medium">
        <color auto="1"/>
      </bottom>
      <diagonal/>
    </border>
    <border>
      <left/>
      <right style="medium">
        <color auto="1"/>
      </right>
      <top style="dashed">
        <color auto="1"/>
      </top>
      <bottom/>
      <diagonal/>
    </border>
    <border>
      <left/>
      <right style="medium">
        <color auto="1"/>
      </right>
      <top style="dashed">
        <color auto="1"/>
      </top>
      <bottom style="medium">
        <color auto="1"/>
      </bottom>
      <diagonal/>
    </border>
    <border>
      <left/>
      <right style="medium">
        <color auto="1"/>
      </right>
      <top style="medium">
        <color auto="1"/>
      </top>
      <bottom style="dashed">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rgb="FF7F7F7F"/>
      </left>
      <right style="medium">
        <color rgb="FF7F7F7F"/>
      </right>
      <top style="medium">
        <color rgb="FF7F7F7F"/>
      </top>
      <bottom style="medium">
        <color rgb="FF7F7F7F"/>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right style="medium">
        <color auto="1"/>
      </right>
      <top style="thin">
        <color auto="1"/>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4" borderId="86"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87" applyNumberFormat="0" applyFill="0" applyAlignment="0" applyProtection="0">
      <alignment vertical="center"/>
    </xf>
    <xf numFmtId="0" fontId="42" fillId="0" borderId="87" applyNumberFormat="0" applyFill="0" applyAlignment="0" applyProtection="0">
      <alignment vertical="center"/>
    </xf>
    <xf numFmtId="0" fontId="43" fillId="0" borderId="88" applyNumberFormat="0" applyFill="0" applyAlignment="0" applyProtection="0">
      <alignment vertical="center"/>
    </xf>
    <xf numFmtId="0" fontId="43" fillId="0" borderId="0" applyNumberFormat="0" applyFill="0" applyBorder="0" applyAlignment="0" applyProtection="0">
      <alignment vertical="center"/>
    </xf>
    <xf numFmtId="0" fontId="44" fillId="5" borderId="89" applyNumberFormat="0" applyAlignment="0" applyProtection="0">
      <alignment vertical="center"/>
    </xf>
    <xf numFmtId="0" fontId="45" fillId="6" borderId="90" applyNumberFormat="0" applyAlignment="0" applyProtection="0">
      <alignment vertical="center"/>
    </xf>
    <xf numFmtId="0" fontId="46" fillId="6" borderId="89" applyNumberFormat="0" applyAlignment="0" applyProtection="0">
      <alignment vertical="center"/>
    </xf>
    <xf numFmtId="0" fontId="47" fillId="7" borderId="91" applyNumberFormat="0" applyAlignment="0" applyProtection="0">
      <alignment vertical="center"/>
    </xf>
    <xf numFmtId="0" fontId="48" fillId="0" borderId="92" applyNumberFormat="0" applyFill="0" applyAlignment="0" applyProtection="0">
      <alignment vertical="center"/>
    </xf>
    <xf numFmtId="0" fontId="49" fillId="0" borderId="93" applyNumberFormat="0" applyFill="0" applyAlignment="0" applyProtection="0">
      <alignment vertical="center"/>
    </xf>
    <xf numFmtId="0" fontId="50" fillId="8" borderId="0" applyNumberFormat="0" applyBorder="0" applyAlignment="0" applyProtection="0">
      <alignment vertical="center"/>
    </xf>
    <xf numFmtId="0" fontId="51" fillId="9" borderId="0" applyNumberFormat="0" applyBorder="0" applyAlignment="0" applyProtection="0">
      <alignment vertical="center"/>
    </xf>
    <xf numFmtId="0" fontId="52" fillId="10" borderId="0" applyNumberFormat="0" applyBorder="0" applyAlignment="0" applyProtection="0">
      <alignment vertical="center"/>
    </xf>
    <xf numFmtId="0" fontId="53" fillId="11" borderId="0" applyNumberFormat="0" applyBorder="0" applyAlignment="0" applyProtection="0">
      <alignment vertical="center"/>
    </xf>
    <xf numFmtId="0" fontId="54" fillId="12" borderId="0" applyNumberFormat="0" applyBorder="0" applyAlignment="0" applyProtection="0">
      <alignment vertical="center"/>
    </xf>
    <xf numFmtId="0" fontId="54" fillId="13"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3" fillId="18" borderId="0" applyNumberFormat="0" applyBorder="0" applyAlignment="0" applyProtection="0">
      <alignment vertical="center"/>
    </xf>
    <xf numFmtId="0" fontId="53"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3" fillId="26" borderId="0" applyNumberFormat="0" applyBorder="0" applyAlignment="0" applyProtection="0">
      <alignment vertical="center"/>
    </xf>
    <xf numFmtId="0" fontId="53"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xf numFmtId="0" fontId="55" fillId="0" borderId="0"/>
    <xf numFmtId="0" fontId="55" fillId="0" borderId="0"/>
    <xf numFmtId="0" fontId="55" fillId="0" borderId="0"/>
    <xf numFmtId="0" fontId="56" fillId="0" borderId="0"/>
  </cellStyleXfs>
  <cellXfs count="427">
    <xf numFmtId="0" fontId="0" fillId="0" borderId="0" xfId="0"/>
    <xf numFmtId="0" fontId="1" fillId="0" borderId="0" xfId="0" applyFont="1" applyAlignment="1">
      <alignment vertical="center"/>
    </xf>
    <xf numFmtId="0" fontId="1"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xf>
    <xf numFmtId="0" fontId="2" fillId="0" borderId="0" xfId="0" applyFont="1" applyAlignment="1">
      <alignment horizontal="center"/>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xf>
    <xf numFmtId="0" fontId="3" fillId="0" borderId="4" xfId="0" applyFont="1" applyBorder="1" applyAlignment="1">
      <alignment horizontal="center" vertical="center"/>
    </xf>
    <xf numFmtId="58" fontId="1" fillId="0" borderId="5" xfId="0" applyNumberFormat="1" applyFont="1" applyBorder="1" applyAlignment="1">
      <alignment vertical="center"/>
    </xf>
    <xf numFmtId="178" fontId="1" fillId="0" borderId="5" xfId="0" applyNumberFormat="1" applyFont="1" applyBorder="1" applyAlignment="1">
      <alignment vertical="center"/>
    </xf>
    <xf numFmtId="0" fontId="3" fillId="0" borderId="4" xfId="0" applyFont="1" applyBorder="1" applyAlignment="1">
      <alignment horizontal="center"/>
    </xf>
    <xf numFmtId="58" fontId="1" fillId="0" borderId="5" xfId="0" applyNumberFormat="1" applyFont="1" applyBorder="1"/>
    <xf numFmtId="16" fontId="3" fillId="0" borderId="4" xfId="0" applyNumberFormat="1" applyFont="1" applyBorder="1" applyAlignment="1">
      <alignment horizontal="center"/>
    </xf>
    <xf numFmtId="0" fontId="1" fillId="0" borderId="3" xfId="0" applyFont="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applyAlignment="1">
      <alignment vertical="center"/>
    </xf>
    <xf numFmtId="0" fontId="1" fillId="0" borderId="14" xfId="0" applyFont="1" applyBorder="1" applyAlignment="1">
      <alignment vertical="center"/>
    </xf>
    <xf numFmtId="178" fontId="1" fillId="0" borderId="12" xfId="0" applyNumberFormat="1" applyFont="1" applyBorder="1" applyAlignment="1">
      <alignment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6" xfId="0" applyFont="1" applyBorder="1" applyAlignment="1">
      <alignment horizontal="center"/>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2" fillId="0" borderId="20" xfId="0" applyFont="1" applyBorder="1" applyAlignment="1">
      <alignment horizontal="center" vertical="center"/>
    </xf>
    <xf numFmtId="0" fontId="2" fillId="0" borderId="21" xfId="0" applyFont="1" applyBorder="1" applyAlignment="1">
      <alignment horizontal="center"/>
    </xf>
    <xf numFmtId="0" fontId="1" fillId="0" borderId="22" xfId="0" applyFont="1" applyBorder="1" applyAlignment="1">
      <alignment horizontal="center" vertical="top" wrapText="1"/>
    </xf>
    <xf numFmtId="178" fontId="1" fillId="0" borderId="22" xfId="0" applyNumberFormat="1" applyFont="1" applyBorder="1" applyAlignment="1">
      <alignment vertical="center"/>
    </xf>
    <xf numFmtId="0" fontId="1" fillId="0" borderId="23" xfId="0" applyFont="1" applyBorder="1"/>
    <xf numFmtId="0" fontId="1" fillId="0" borderId="24" xfId="0" applyFont="1" applyBorder="1"/>
    <xf numFmtId="178" fontId="1" fillId="0" borderId="24" xfId="0" applyNumberFormat="1" applyFont="1" applyBorder="1" applyAlignment="1">
      <alignment vertical="center"/>
    </xf>
    <xf numFmtId="0" fontId="1" fillId="0" borderId="21" xfId="0" applyFont="1" applyBorder="1"/>
    <xf numFmtId="0" fontId="4" fillId="0" borderId="16" xfId="0" applyFont="1" applyBorder="1" applyAlignment="1">
      <alignment horizontal="center"/>
    </xf>
    <xf numFmtId="0" fontId="4" fillId="0" borderId="17" xfId="0" applyFont="1" applyBorder="1" applyAlignment="1">
      <alignment horizontal="center"/>
    </xf>
    <xf numFmtId="0" fontId="4" fillId="0" borderId="5" xfId="0" applyFont="1" applyBorder="1" applyAlignment="1">
      <alignment horizontal="center"/>
    </xf>
    <xf numFmtId="0" fontId="4" fillId="0" borderId="22" xfId="0" applyFont="1" applyBorder="1" applyAlignment="1">
      <alignment horizontal="center"/>
    </xf>
    <xf numFmtId="0" fontId="1" fillId="0" borderId="10" xfId="0" applyFont="1" applyBorder="1" applyAlignment="1">
      <alignment horizontal="center" vertical="top" wrapText="1"/>
    </xf>
    <xf numFmtId="0" fontId="1" fillId="0" borderId="0" xfId="0" applyFont="1" applyAlignment="1">
      <alignment horizontal="center" vertical="top" wrapText="1"/>
    </xf>
    <xf numFmtId="0" fontId="1" fillId="0" borderId="21" xfId="0" applyFont="1" applyBorder="1" applyAlignment="1">
      <alignment horizontal="center" vertical="top" wrapText="1"/>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20" xfId="0" applyFont="1" applyBorder="1" applyAlignment="1">
      <alignment horizont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top" wrapText="1"/>
    </xf>
    <xf numFmtId="0" fontId="1" fillId="0" borderId="16" xfId="0" applyFont="1" applyBorder="1" applyAlignment="1">
      <alignment horizontal="left" vertical="top" wrapText="1"/>
    </xf>
    <xf numFmtId="0" fontId="1" fillId="0" borderId="28" xfId="0" applyFont="1" applyBorder="1" applyAlignment="1">
      <alignment horizontal="left" vertical="top" wrapText="1"/>
    </xf>
    <xf numFmtId="0" fontId="1" fillId="0" borderId="5" xfId="0" applyFont="1" applyBorder="1" applyAlignment="1">
      <alignment horizontal="left" vertical="top"/>
    </xf>
    <xf numFmtId="0" fontId="1" fillId="0" borderId="22" xfId="0" applyFont="1" applyBorder="1" applyAlignment="1">
      <alignment horizontal="left" vertical="top"/>
    </xf>
    <xf numFmtId="0" fontId="5" fillId="0" borderId="6" xfId="0" applyFont="1" applyBorder="1" applyAlignment="1">
      <alignment horizontal="left" vertical="top" wrapText="1"/>
    </xf>
    <xf numFmtId="0" fontId="5" fillId="0" borderId="16" xfId="0" applyFont="1" applyBorder="1" applyAlignment="1">
      <alignment horizontal="left" vertical="top" wrapText="1"/>
    </xf>
    <xf numFmtId="0" fontId="5" fillId="0" borderId="28" xfId="0" applyFont="1" applyBorder="1" applyAlignment="1">
      <alignment horizontal="left" vertical="top" wrapText="1"/>
    </xf>
    <xf numFmtId="178" fontId="1" fillId="0" borderId="6" xfId="0" applyNumberFormat="1" applyFont="1" applyBorder="1" applyAlignment="1">
      <alignment horizontal="left" vertical="top" wrapText="1"/>
    </xf>
    <xf numFmtId="178" fontId="1" fillId="0" borderId="16" xfId="0" applyNumberFormat="1" applyFont="1" applyBorder="1" applyAlignment="1">
      <alignment horizontal="left" vertical="top" wrapText="1"/>
    </xf>
    <xf numFmtId="178" fontId="1" fillId="0" borderId="28" xfId="0" applyNumberFormat="1" applyFont="1" applyBorder="1" applyAlignment="1">
      <alignment horizontal="left" vertical="top" wrapText="1"/>
    </xf>
    <xf numFmtId="58" fontId="1" fillId="0" borderId="5" xfId="0" applyNumberFormat="1" applyFont="1" applyBorder="1" applyAlignment="1">
      <alignment horizontal="left" vertical="top"/>
    </xf>
    <xf numFmtId="0" fontId="1" fillId="0" borderId="3" xfId="0" applyFont="1" applyBorder="1" applyAlignment="1">
      <alignment horizontal="center"/>
    </xf>
    <xf numFmtId="0" fontId="1" fillId="0" borderId="0" xfId="0" applyFont="1" applyAlignment="1">
      <alignment horizontal="center"/>
    </xf>
    <xf numFmtId="0" fontId="1" fillId="0" borderId="21" xfId="0" applyFont="1" applyBorder="1" applyAlignment="1">
      <alignment horizontal="center"/>
    </xf>
    <xf numFmtId="0" fontId="1" fillId="0" borderId="4" xfId="0" applyFont="1" applyBorder="1" applyAlignment="1">
      <alignment wrapText="1"/>
    </xf>
    <xf numFmtId="0" fontId="1" fillId="0" borderId="5" xfId="0" applyFont="1" applyBorder="1" applyAlignment="1">
      <alignment wrapText="1"/>
    </xf>
    <xf numFmtId="0" fontId="1" fillId="0" borderId="22" xfId="0" applyFont="1" applyBorder="1" applyAlignment="1">
      <alignment wrapText="1"/>
    </xf>
    <xf numFmtId="0" fontId="1" fillId="0" borderId="4" xfId="0" applyFont="1" applyBorder="1" applyAlignment="1">
      <alignment horizontal="center" vertical="center"/>
    </xf>
    <xf numFmtId="0" fontId="1" fillId="0" borderId="5" xfId="0" applyFont="1" applyBorder="1"/>
    <xf numFmtId="0" fontId="1" fillId="0" borderId="5" xfId="0" applyFont="1" applyBorder="1" applyAlignment="1">
      <alignment horizontal="center"/>
    </xf>
    <xf numFmtId="0" fontId="1" fillId="0" borderId="22" xfId="0" applyFont="1" applyBorder="1" applyAlignment="1">
      <alignment horizontal="center"/>
    </xf>
    <xf numFmtId="178" fontId="1" fillId="0" borderId="5" xfId="0" applyNumberFormat="1" applyFont="1" applyBorder="1"/>
    <xf numFmtId="178" fontId="1" fillId="0" borderId="22" xfId="0" applyNumberFormat="1" applyFont="1" applyBorder="1"/>
    <xf numFmtId="0" fontId="1" fillId="0" borderId="3" xfId="0" applyFont="1" applyBorder="1" applyAlignment="1">
      <alignment horizontal="left" wrapText="1"/>
    </xf>
    <xf numFmtId="0" fontId="1" fillId="0" borderId="0" xfId="0" applyFont="1" applyAlignment="1">
      <alignment horizontal="left" wrapText="1"/>
    </xf>
    <xf numFmtId="0" fontId="1" fillId="0" borderId="21" xfId="0" applyFont="1" applyBorder="1" applyAlignment="1">
      <alignment horizontal="left" wrapText="1"/>
    </xf>
    <xf numFmtId="0" fontId="1" fillId="0" borderId="3" xfId="0" applyFont="1" applyBorder="1" applyAlignment="1">
      <alignment horizontal="left"/>
    </xf>
    <xf numFmtId="0" fontId="1" fillId="0" borderId="0" xfId="0" applyFont="1" applyAlignment="1">
      <alignment horizontal="left"/>
    </xf>
    <xf numFmtId="0" fontId="1" fillId="0" borderId="21" xfId="0" applyFont="1" applyBorder="1" applyAlignment="1">
      <alignment horizontal="left"/>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5" xfId="0" applyFont="1" applyBorder="1" applyAlignment="1">
      <alignment horizontal="center" vertical="center"/>
    </xf>
    <xf numFmtId="0" fontId="4" fillId="0" borderId="22"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1" fillId="0" borderId="33" xfId="0" applyFont="1" applyBorder="1" applyAlignment="1">
      <alignment horizontal="center" vertical="top" wrapText="1"/>
    </xf>
    <xf numFmtId="0" fontId="1" fillId="0" borderId="34" xfId="0" applyFont="1" applyBorder="1" applyAlignment="1">
      <alignment horizontal="center" vertical="top" wrapText="1"/>
    </xf>
    <xf numFmtId="0" fontId="1" fillId="0" borderId="35" xfId="0" applyFont="1" applyBorder="1" applyAlignment="1">
      <alignment horizontal="center" vertical="top" wrapText="1"/>
    </xf>
    <xf numFmtId="0" fontId="1" fillId="0" borderId="36" xfId="0" applyFont="1" applyBorder="1" applyAlignment="1">
      <alignment horizontal="center" vertical="top" wrapText="1"/>
    </xf>
    <xf numFmtId="0" fontId="1" fillId="0" borderId="37" xfId="0" applyFont="1" applyBorder="1" applyAlignment="1">
      <alignment horizontal="center" vertical="top" wrapText="1"/>
    </xf>
    <xf numFmtId="0" fontId="6" fillId="0" borderId="38" xfId="0" applyFont="1" applyBorder="1" applyAlignment="1">
      <alignment horizontal="center"/>
    </xf>
    <xf numFmtId="0" fontId="6" fillId="0" borderId="39" xfId="0" applyFont="1" applyBorder="1" applyAlignment="1">
      <alignment horizontal="center"/>
    </xf>
    <xf numFmtId="0" fontId="7" fillId="0" borderId="38" xfId="0" applyFont="1" applyBorder="1" applyAlignment="1">
      <alignment horizontal="center" vertical="center" wrapText="1"/>
    </xf>
    <xf numFmtId="0" fontId="7" fillId="0" borderId="39" xfId="0" applyFont="1" applyBorder="1" applyAlignment="1">
      <alignment horizontal="center" vertical="center" wrapText="1"/>
    </xf>
    <xf numFmtId="0" fontId="8" fillId="0" borderId="39" xfId="0" applyFont="1" applyBorder="1" applyAlignment="1">
      <alignment horizontal="center" vertical="top" wrapText="1"/>
    </xf>
    <xf numFmtId="3" fontId="9" fillId="0" borderId="39" xfId="0" applyNumberFormat="1" applyFont="1" applyBorder="1" applyAlignment="1">
      <alignment horizontal="right" vertical="center" wrapText="1"/>
    </xf>
    <xf numFmtId="3" fontId="10" fillId="0" borderId="39" xfId="0" applyNumberFormat="1" applyFont="1" applyBorder="1" applyAlignment="1">
      <alignment horizontal="right" vertical="center"/>
    </xf>
    <xf numFmtId="179" fontId="9" fillId="0" borderId="38" xfId="0" applyNumberFormat="1" applyFont="1" applyBorder="1" applyAlignment="1">
      <alignment horizontal="right" vertical="center"/>
    </xf>
    <xf numFmtId="179" fontId="9" fillId="0" borderId="39" xfId="0" applyNumberFormat="1" applyFont="1" applyBorder="1" applyAlignment="1">
      <alignment horizontal="right" vertical="center"/>
    </xf>
    <xf numFmtId="0" fontId="9" fillId="0" borderId="39" xfId="0" applyFont="1" applyBorder="1" applyAlignment="1">
      <alignment horizontal="center" vertical="center"/>
    </xf>
    <xf numFmtId="179" fontId="10" fillId="0" borderId="39" xfId="0" applyNumberFormat="1" applyFont="1" applyBorder="1" applyAlignment="1">
      <alignment horizontal="left" vertical="center"/>
    </xf>
    <xf numFmtId="0" fontId="9" fillId="0" borderId="39" xfId="0" applyFont="1" applyBorder="1" applyAlignment="1">
      <alignment horizontal="left" vertical="center"/>
    </xf>
    <xf numFmtId="0" fontId="9" fillId="0" borderId="39" xfId="0" applyFont="1" applyBorder="1" applyAlignment="1">
      <alignment vertical="center"/>
    </xf>
    <xf numFmtId="0" fontId="9" fillId="0" borderId="40" xfId="0" applyFont="1" applyBorder="1" applyAlignment="1">
      <alignment horizontal="center"/>
    </xf>
    <xf numFmtId="0" fontId="9" fillId="0" borderId="41" xfId="0" applyFont="1" applyBorder="1" applyAlignment="1">
      <alignment horizontal="left"/>
    </xf>
    <xf numFmtId="178" fontId="9" fillId="0" borderId="42" xfId="0" applyNumberFormat="1" applyFont="1" applyBorder="1" applyAlignment="1">
      <alignment horizontal="right"/>
    </xf>
    <xf numFmtId="178" fontId="9" fillId="0" borderId="2" xfId="0" applyNumberFormat="1" applyFont="1" applyBorder="1" applyAlignment="1">
      <alignment horizontal="right"/>
    </xf>
    <xf numFmtId="0" fontId="9" fillId="0" borderId="43" xfId="0" applyFont="1" applyBorder="1" applyAlignment="1">
      <alignment horizontal="center"/>
    </xf>
    <xf numFmtId="0" fontId="9" fillId="0" borderId="44" xfId="0" applyFont="1" applyBorder="1"/>
    <xf numFmtId="178" fontId="9" fillId="0" borderId="45" xfId="0" applyNumberFormat="1" applyFont="1" applyBorder="1" applyAlignment="1">
      <alignment horizontal="right"/>
    </xf>
    <xf numFmtId="178" fontId="9" fillId="0" borderId="46" xfId="0" applyNumberFormat="1" applyFont="1" applyBorder="1" applyAlignment="1">
      <alignment horizontal="right"/>
    </xf>
    <xf numFmtId="0" fontId="9" fillId="0" borderId="47" xfId="0" applyFont="1" applyBorder="1" applyAlignment="1">
      <alignment horizontal="center"/>
    </xf>
    <xf numFmtId="0" fontId="9" fillId="0" borderId="48" xfId="0" applyFont="1" applyBorder="1"/>
    <xf numFmtId="178" fontId="9" fillId="0" borderId="49" xfId="0" applyNumberFormat="1" applyFont="1" applyBorder="1" applyAlignment="1">
      <alignment horizontal="right"/>
    </xf>
    <xf numFmtId="178" fontId="9" fillId="0" borderId="50" xfId="0" applyNumberFormat="1" applyFont="1" applyBorder="1" applyAlignment="1">
      <alignment horizontal="right"/>
    </xf>
    <xf numFmtId="0" fontId="9" fillId="0" borderId="44" xfId="0" applyFont="1" applyBorder="1" applyAlignment="1">
      <alignment horizontal="left"/>
    </xf>
    <xf numFmtId="0" fontId="10" fillId="0" borderId="47" xfId="0" applyFont="1" applyBorder="1" applyAlignment="1">
      <alignment horizontal="center"/>
    </xf>
    <xf numFmtId="0" fontId="10" fillId="0" borderId="48" xfId="0" applyFont="1" applyBorder="1"/>
    <xf numFmtId="178" fontId="6" fillId="0" borderId="49" xfId="0" applyNumberFormat="1" applyFont="1" applyBorder="1" applyAlignment="1">
      <alignment horizontal="right"/>
    </xf>
    <xf numFmtId="178" fontId="6" fillId="0" borderId="50" xfId="0" applyNumberFormat="1" applyFont="1" applyBorder="1" applyAlignment="1">
      <alignment horizontal="right"/>
    </xf>
    <xf numFmtId="0" fontId="10" fillId="0" borderId="51" xfId="0" applyFont="1" applyBorder="1" applyAlignment="1">
      <alignment horizontal="center"/>
    </xf>
    <xf numFmtId="0" fontId="10" fillId="0" borderId="52" xfId="0" applyFont="1" applyBorder="1" applyAlignment="1">
      <alignment horizontal="center" vertical="center" textRotation="90" wrapText="1"/>
    </xf>
    <xf numFmtId="0" fontId="9" fillId="0" borderId="53" xfId="0" applyFont="1" applyBorder="1" applyAlignment="1">
      <alignment horizontal="left"/>
    </xf>
    <xf numFmtId="0" fontId="10" fillId="0" borderId="41" xfId="0" applyFont="1" applyBorder="1" applyAlignment="1">
      <alignment horizontal="center" textRotation="90"/>
    </xf>
    <xf numFmtId="0" fontId="10" fillId="0" borderId="8" xfId="0" applyFont="1" applyBorder="1" applyAlignment="1">
      <alignment horizontal="center" vertical="center" textRotation="90" wrapText="1"/>
    </xf>
    <xf numFmtId="0" fontId="9" fillId="0" borderId="54" xfId="0" applyFont="1" applyBorder="1" applyAlignment="1">
      <alignment horizontal="left"/>
    </xf>
    <xf numFmtId="0" fontId="10" fillId="0" borderId="44" xfId="0" applyFont="1" applyBorder="1" applyAlignment="1">
      <alignment horizontal="center" textRotation="90"/>
    </xf>
    <xf numFmtId="178" fontId="9" fillId="0" borderId="10" xfId="0" applyNumberFormat="1" applyFont="1" applyBorder="1" applyAlignment="1">
      <alignment horizontal="right"/>
    </xf>
    <xf numFmtId="178" fontId="9" fillId="0" borderId="0" xfId="0" applyNumberFormat="1" applyFont="1" applyAlignment="1">
      <alignment horizontal="right"/>
    </xf>
    <xf numFmtId="0" fontId="9" fillId="0" borderId="54" xfId="0" applyFont="1" applyBorder="1" applyAlignment="1">
      <alignment vertical="center" wrapText="1"/>
    </xf>
    <xf numFmtId="0" fontId="9" fillId="0" borderId="44" xfId="0" applyFont="1" applyBorder="1" applyAlignment="1">
      <alignment vertical="center" wrapText="1"/>
    </xf>
    <xf numFmtId="0" fontId="9" fillId="0" borderId="55" xfId="0" applyFont="1" applyBorder="1" applyAlignment="1">
      <alignment vertical="center" wrapText="1"/>
    </xf>
    <xf numFmtId="178" fontId="9" fillId="0" borderId="56" xfId="0" applyNumberFormat="1" applyFont="1" applyBorder="1" applyAlignment="1">
      <alignment horizontal="right"/>
    </xf>
    <xf numFmtId="178" fontId="9" fillId="0" borderId="57" xfId="0" applyNumberFormat="1" applyFont="1" applyBorder="1" applyAlignment="1">
      <alignment horizontal="right"/>
    </xf>
    <xf numFmtId="0" fontId="9" fillId="0" borderId="54" xfId="0" applyFont="1" applyBorder="1"/>
    <xf numFmtId="0" fontId="10" fillId="0" borderId="58" xfId="0" applyFont="1" applyBorder="1" applyAlignment="1">
      <alignment horizontal="center" vertical="center" textRotation="90" wrapText="1"/>
    </xf>
    <xf numFmtId="0" fontId="9" fillId="0" borderId="59" xfId="0" applyFont="1" applyBorder="1" applyAlignment="1">
      <alignment horizontal="left"/>
    </xf>
    <xf numFmtId="0" fontId="9" fillId="0" borderId="48" xfId="0" applyFont="1" applyBorder="1" applyAlignment="1">
      <alignment horizontal="left"/>
    </xf>
    <xf numFmtId="0" fontId="9" fillId="0" borderId="60" xfId="0" applyFont="1" applyBorder="1" applyAlignment="1">
      <alignment horizontal="left"/>
    </xf>
    <xf numFmtId="0" fontId="9" fillId="0" borderId="61" xfId="0" applyFont="1" applyBorder="1" applyAlignment="1">
      <alignment horizontal="center"/>
    </xf>
    <xf numFmtId="0" fontId="9" fillId="0" borderId="53" xfId="0" applyFont="1" applyBorder="1"/>
    <xf numFmtId="0" fontId="9" fillId="0" borderId="41" xfId="0" applyFont="1" applyBorder="1"/>
    <xf numFmtId="0" fontId="9" fillId="0" borderId="62" xfId="0" applyFont="1" applyBorder="1"/>
    <xf numFmtId="178" fontId="9" fillId="0" borderId="63" xfId="0" applyNumberFormat="1" applyFont="1" applyBorder="1" applyAlignment="1">
      <alignment horizontal="right"/>
    </xf>
    <xf numFmtId="178" fontId="9" fillId="0" borderId="64" xfId="0" applyNumberFormat="1" applyFont="1" applyBorder="1" applyAlignment="1">
      <alignment horizontal="right"/>
    </xf>
    <xf numFmtId="0" fontId="10" fillId="0" borderId="65" xfId="0" applyFont="1" applyBorder="1" applyAlignment="1">
      <alignment horizontal="center"/>
    </xf>
    <xf numFmtId="0" fontId="10" fillId="0" borderId="66" xfId="0" applyFont="1" applyBorder="1"/>
    <xf numFmtId="178" fontId="6" fillId="0" borderId="56" xfId="0" applyNumberFormat="1" applyFont="1" applyBorder="1" applyAlignment="1">
      <alignment horizontal="right"/>
    </xf>
    <xf numFmtId="178" fontId="6" fillId="0" borderId="57" xfId="0" applyNumberFormat="1" applyFont="1" applyBorder="1" applyAlignment="1">
      <alignment horizontal="right"/>
    </xf>
    <xf numFmtId="0" fontId="9" fillId="0" borderId="1" xfId="0" applyFont="1" applyBorder="1" applyAlignment="1">
      <alignment horizontal="right" vertical="center"/>
    </xf>
    <xf numFmtId="0" fontId="9" fillId="0" borderId="2" xfId="0" applyFont="1" applyBorder="1" applyAlignment="1">
      <alignment horizontal="right" vertical="center"/>
    </xf>
    <xf numFmtId="0" fontId="11" fillId="0" borderId="2" xfId="0" applyFont="1" applyBorder="1" applyAlignment="1">
      <alignment horizontal="center" vertical="center"/>
    </xf>
    <xf numFmtId="0" fontId="10"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6" fillId="0" borderId="5" xfId="49" applyFont="1" applyBorder="1" applyAlignment="1">
      <alignment horizontal="center" vertical="center" wrapText="1"/>
    </xf>
    <xf numFmtId="0" fontId="9" fillId="0" borderId="3" xfId="0" applyFont="1" applyBorder="1" applyAlignment="1">
      <alignment horizontal="left" vertical="center" wrapText="1" indent="7"/>
    </xf>
    <xf numFmtId="0" fontId="9" fillId="0" borderId="0" xfId="0" applyFont="1" applyAlignment="1">
      <alignment horizontal="left" vertical="center" wrapText="1" indent="7"/>
    </xf>
    <xf numFmtId="0" fontId="10" fillId="0" borderId="67" xfId="0" applyFont="1" applyBorder="1" applyAlignment="1">
      <alignment horizontal="center"/>
    </xf>
    <xf numFmtId="0" fontId="9" fillId="0" borderId="26" xfId="0" applyFont="1" applyBorder="1"/>
    <xf numFmtId="0" fontId="9" fillId="0" borderId="26" xfId="0" applyFont="1" applyBorder="1" applyAlignment="1">
      <alignment horizontal="center" wrapText="1"/>
    </xf>
    <xf numFmtId="0" fontId="9" fillId="0" borderId="26" xfId="0" applyFont="1" applyBorder="1" applyAlignment="1">
      <alignment horizontal="center"/>
    </xf>
    <xf numFmtId="3" fontId="9" fillId="0" borderId="26" xfId="0" applyNumberFormat="1" applyFont="1" applyBorder="1" applyAlignment="1">
      <alignment wrapText="1"/>
    </xf>
    <xf numFmtId="3" fontId="9" fillId="0" borderId="26" xfId="0" applyNumberFormat="1" applyFont="1" applyBorder="1" applyAlignment="1">
      <alignment horizontal="center" vertical="center" wrapText="1"/>
    </xf>
    <xf numFmtId="0" fontId="6" fillId="0" borderId="68" xfId="0" applyFont="1" applyBorder="1" applyAlignment="1">
      <alignment horizontal="center"/>
    </xf>
    <xf numFmtId="3" fontId="10" fillId="0" borderId="68" xfId="0" applyNumberFormat="1" applyFont="1" applyBorder="1" applyAlignment="1">
      <alignment horizontal="right" vertical="center"/>
    </xf>
    <xf numFmtId="3" fontId="9" fillId="0" borderId="68" xfId="0" applyNumberFormat="1" applyFont="1" applyBorder="1" applyAlignment="1">
      <alignment vertical="center"/>
    </xf>
    <xf numFmtId="180" fontId="14" fillId="0" borderId="20" xfId="0" applyNumberFormat="1" applyFont="1" applyBorder="1"/>
    <xf numFmtId="180" fontId="14" fillId="0" borderId="69" xfId="0" applyNumberFormat="1" applyFont="1" applyBorder="1"/>
    <xf numFmtId="180" fontId="14" fillId="0" borderId="70" xfId="0" applyNumberFormat="1" applyFont="1" applyBorder="1"/>
    <xf numFmtId="180" fontId="15" fillId="0" borderId="70" xfId="0" applyNumberFormat="1" applyFont="1" applyBorder="1"/>
    <xf numFmtId="180" fontId="14" fillId="0" borderId="71" xfId="0" applyNumberFormat="1" applyFont="1" applyBorder="1"/>
    <xf numFmtId="180" fontId="15" fillId="0" borderId="69" xfId="0" applyNumberFormat="1" applyFont="1" applyBorder="1"/>
    <xf numFmtId="3" fontId="10" fillId="0" borderId="20" xfId="0" applyNumberFormat="1" applyFont="1" applyBorder="1" applyAlignment="1">
      <alignment vertical="center"/>
    </xf>
    <xf numFmtId="0" fontId="0" fillId="0" borderId="21" xfId="0" applyBorder="1"/>
    <xf numFmtId="3" fontId="9" fillId="0" borderId="27" xfId="0" applyNumberFormat="1" applyFont="1" applyBorder="1" applyAlignment="1">
      <alignment horizontal="center" vertical="center" wrapText="1"/>
    </xf>
    <xf numFmtId="2" fontId="1" fillId="2" borderId="0" xfId="0" applyNumberFormat="1" applyFont="1" applyFill="1"/>
    <xf numFmtId="2" fontId="1" fillId="0" borderId="0" xfId="0" applyNumberFormat="1" applyFont="1"/>
    <xf numFmtId="0" fontId="6" fillId="0" borderId="72" xfId="0" applyFont="1" applyBorder="1" applyAlignment="1">
      <alignment horizontal="center" vertical="center"/>
    </xf>
    <xf numFmtId="0" fontId="6" fillId="0" borderId="73" xfId="0" applyFont="1" applyBorder="1" applyAlignment="1">
      <alignment horizontal="center" vertical="center"/>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12" fillId="0" borderId="17" xfId="0" applyFont="1" applyBorder="1" applyAlignment="1">
      <alignment horizontal="center" vertical="top" wrapText="1"/>
    </xf>
    <xf numFmtId="58" fontId="6" fillId="0" borderId="6" xfId="0" applyNumberFormat="1" applyFont="1" applyBorder="1" applyAlignment="1">
      <alignment horizontal="right" vertical="center"/>
    </xf>
    <xf numFmtId="0" fontId="6" fillId="0" borderId="16" xfId="0" applyFont="1" applyBorder="1" applyAlignment="1">
      <alignment horizontal="right" vertical="center"/>
    </xf>
    <xf numFmtId="0" fontId="6" fillId="0" borderId="4" xfId="0" applyFont="1" applyBorder="1" applyAlignment="1">
      <alignment horizontal="left" vertical="center"/>
    </xf>
    <xf numFmtId="4" fontId="6" fillId="0" borderId="5" xfId="0" applyNumberFormat="1" applyFont="1" applyBorder="1" applyAlignment="1">
      <alignment horizontal="left" vertical="center"/>
    </xf>
    <xf numFmtId="181" fontId="6" fillId="0" borderId="5" xfId="1" applyNumberFormat="1" applyFont="1" applyBorder="1" applyAlignment="1">
      <alignment vertical="center"/>
    </xf>
    <xf numFmtId="0" fontId="6" fillId="0" borderId="5" xfId="0" applyFont="1" applyBorder="1" applyAlignment="1">
      <alignment horizontal="center" vertical="center"/>
    </xf>
    <xf numFmtId="2" fontId="12" fillId="0" borderId="5" xfId="0" applyNumberFormat="1" applyFont="1" applyBorder="1" applyAlignment="1">
      <alignment horizontal="center" vertical="center"/>
    </xf>
    <xf numFmtId="0" fontId="11" fillId="0" borderId="6" xfId="0" applyFont="1" applyBorder="1" applyAlignment="1">
      <alignment horizontal="center"/>
    </xf>
    <xf numFmtId="178" fontId="16" fillId="0" borderId="5" xfId="1" applyNumberFormat="1" applyFont="1" applyBorder="1" applyAlignment="1">
      <alignment horizontal="left" vertical="center"/>
    </xf>
    <xf numFmtId="181" fontId="6" fillId="0" borderId="5" xfId="1" applyNumberFormat="1" applyFont="1" applyBorder="1" applyAlignment="1">
      <alignment horizontal="left" vertical="center"/>
    </xf>
    <xf numFmtId="9" fontId="6" fillId="0" borderId="6" xfId="1" applyNumberFormat="1" applyFont="1" applyBorder="1" applyAlignment="1">
      <alignment horizontal="center" vertical="center"/>
    </xf>
    <xf numFmtId="9" fontId="6" fillId="0" borderId="17" xfId="1" applyNumberFormat="1" applyFont="1" applyBorder="1" applyAlignment="1">
      <alignment horizontal="center" vertical="center"/>
    </xf>
    <xf numFmtId="2" fontId="6" fillId="0" borderId="5" xfId="1" applyNumberFormat="1" applyFont="1" applyBorder="1" applyAlignment="1">
      <alignment horizontal="center" vertical="center"/>
    </xf>
    <xf numFmtId="9" fontId="11" fillId="0" borderId="6" xfId="1" applyNumberFormat="1" applyFont="1" applyBorder="1" applyAlignment="1">
      <alignment horizontal="center" vertical="center"/>
    </xf>
    <xf numFmtId="0" fontId="12" fillId="0" borderId="4" xfId="0" applyFont="1" applyBorder="1" applyAlignment="1">
      <alignment horizontal="center" vertical="center"/>
    </xf>
    <xf numFmtId="182" fontId="10" fillId="0" borderId="5" xfId="0" applyNumberFormat="1" applyFont="1" applyBorder="1" applyAlignment="1">
      <alignment horizontal="center" vertical="center"/>
    </xf>
    <xf numFmtId="2" fontId="10" fillId="0" borderId="5" xfId="0" applyNumberFormat="1" applyFont="1" applyBorder="1" applyAlignment="1">
      <alignment horizontal="center" vertical="center"/>
    </xf>
    <xf numFmtId="3" fontId="10" fillId="0" borderId="5" xfId="0" applyNumberFormat="1" applyFont="1" applyBorder="1" applyAlignment="1">
      <alignment horizontal="center" vertical="center"/>
    </xf>
    <xf numFmtId="0" fontId="17" fillId="0" borderId="4" xfId="0" applyFont="1" applyBorder="1" applyAlignment="1">
      <alignment horizontal="center" vertical="center" wrapText="1"/>
    </xf>
    <xf numFmtId="0" fontId="18" fillId="0" borderId="5" xfId="0" applyFont="1" applyBorder="1" applyAlignment="1">
      <alignment horizontal="center" vertical="center" wrapText="1"/>
    </xf>
    <xf numFmtId="182" fontId="11" fillId="0" borderId="5" xfId="0" applyNumberFormat="1" applyFont="1" applyBorder="1" applyAlignment="1">
      <alignment horizontal="center" vertical="center" wrapText="1"/>
    </xf>
    <xf numFmtId="2" fontId="17" fillId="0" borderId="5" xfId="0" applyNumberFormat="1" applyFont="1" applyBorder="1" applyAlignment="1">
      <alignment horizontal="center" vertical="center" wrapText="1"/>
    </xf>
    <xf numFmtId="3" fontId="17" fillId="0" borderId="5" xfId="0" applyNumberFormat="1" applyFont="1" applyBorder="1" applyAlignment="1">
      <alignment horizontal="center" vertical="center" wrapText="1"/>
    </xf>
    <xf numFmtId="183" fontId="11" fillId="0" borderId="4" xfId="51" applyNumberFormat="1" applyFont="1" applyBorder="1" applyAlignment="1">
      <alignment horizontal="center" vertical="center"/>
    </xf>
    <xf numFmtId="0" fontId="16" fillId="0" borderId="5" xfId="0" applyFont="1" applyBorder="1" applyAlignment="1">
      <alignment wrapText="1"/>
    </xf>
    <xf numFmtId="0" fontId="19" fillId="0" borderId="5" xfId="0" applyFont="1" applyBorder="1" applyAlignment="1">
      <alignment wrapText="1"/>
    </xf>
    <xf numFmtId="184" fontId="11" fillId="0" borderId="29" xfId="1" applyNumberFormat="1" applyFont="1" applyFill="1" applyBorder="1" applyAlignment="1">
      <alignment horizontal="center" vertical="center"/>
    </xf>
    <xf numFmtId="184" fontId="11" fillId="0" borderId="34" xfId="1" applyNumberFormat="1" applyFont="1" applyFill="1" applyBorder="1" applyAlignment="1">
      <alignment horizontal="center" vertical="center"/>
    </xf>
    <xf numFmtId="180" fontId="11" fillId="0" borderId="5" xfId="51" applyNumberFormat="1" applyFont="1" applyBorder="1" applyAlignment="1">
      <alignment horizontal="right" vertical="center"/>
    </xf>
    <xf numFmtId="2" fontId="17" fillId="0" borderId="5" xfId="3" applyNumberFormat="1" applyFont="1" applyFill="1" applyBorder="1" applyAlignment="1">
      <alignment horizontal="center" vertical="center"/>
    </xf>
    <xf numFmtId="180" fontId="11" fillId="0" borderId="5" xfId="51" applyNumberFormat="1" applyFont="1" applyBorder="1" applyAlignment="1">
      <alignment horizontal="center" vertical="center"/>
    </xf>
    <xf numFmtId="0" fontId="17" fillId="0" borderId="4" xfId="0" applyFont="1" applyBorder="1" applyAlignment="1">
      <alignment horizontal="center" vertical="center"/>
    </xf>
    <xf numFmtId="0" fontId="9" fillId="0" borderId="74" xfId="0" applyFont="1" applyBorder="1" applyAlignment="1">
      <alignment vertical="center" wrapText="1"/>
    </xf>
    <xf numFmtId="178" fontId="20" fillId="3" borderId="5" xfId="0" applyNumberFormat="1" applyFont="1" applyFill="1" applyBorder="1" applyAlignment="1">
      <alignment horizontal="center" vertical="center"/>
    </xf>
    <xf numFmtId="2" fontId="17" fillId="0" borderId="5" xfId="0" applyNumberFormat="1" applyFont="1" applyBorder="1" applyAlignment="1">
      <alignment horizontal="right" vertical="center"/>
    </xf>
    <xf numFmtId="178" fontId="11" fillId="0" borderId="5" xfId="51" applyNumberFormat="1" applyFont="1" applyBorder="1" applyAlignment="1">
      <alignment horizontal="right" vertical="center"/>
    </xf>
    <xf numFmtId="178" fontId="17" fillId="0" borderId="5" xfId="0" applyNumberFormat="1" applyFont="1" applyBorder="1" applyAlignment="1">
      <alignment horizontal="right" vertical="center"/>
    </xf>
    <xf numFmtId="1" fontId="17" fillId="0" borderId="18" xfId="0" applyNumberFormat="1" applyFont="1" applyBorder="1" applyAlignment="1">
      <alignment horizontal="center" vertical="center"/>
    </xf>
    <xf numFmtId="0" fontId="1" fillId="0" borderId="19" xfId="0" applyFont="1" applyBorder="1" applyAlignment="1">
      <alignment horizontal="right"/>
    </xf>
    <xf numFmtId="178" fontId="21" fillId="0" borderId="19" xfId="3" applyNumberFormat="1" applyFont="1" applyFill="1" applyBorder="1" applyAlignment="1">
      <alignment vertical="center" wrapText="1"/>
    </xf>
    <xf numFmtId="2" fontId="1" fillId="0" borderId="19" xfId="0" applyNumberFormat="1" applyFont="1" applyBorder="1" applyAlignment="1">
      <alignment horizontal="right"/>
    </xf>
    <xf numFmtId="178" fontId="1" fillId="0" borderId="19" xfId="0" applyNumberFormat="1" applyFont="1" applyBorder="1" applyAlignment="1">
      <alignment horizontal="right"/>
    </xf>
    <xf numFmtId="2" fontId="17" fillId="0" borderId="19" xfId="0" applyNumberFormat="1" applyFont="1" applyBorder="1" applyAlignment="1">
      <alignment horizontal="right" vertical="center"/>
    </xf>
    <xf numFmtId="178" fontId="17" fillId="0" borderId="19" xfId="0" applyNumberFormat="1" applyFont="1" applyBorder="1" applyAlignment="1">
      <alignment horizontal="right" vertical="center"/>
    </xf>
    <xf numFmtId="1" fontId="17" fillId="0" borderId="0" xfId="0" applyNumberFormat="1" applyFont="1" applyAlignment="1">
      <alignment horizontal="center" vertical="center"/>
    </xf>
    <xf numFmtId="0" fontId="4" fillId="0" borderId="0" xfId="0" applyFont="1" applyAlignment="1">
      <alignment horizontal="center"/>
    </xf>
    <xf numFmtId="185" fontId="4" fillId="0" borderId="0" xfId="0" applyNumberFormat="1" applyFont="1" applyAlignment="1">
      <alignment horizontal="right"/>
    </xf>
    <xf numFmtId="0" fontId="1" fillId="0" borderId="0" xfId="0" applyFont="1" applyAlignment="1">
      <alignment horizontal="center" vertical="center" wrapText="1"/>
    </xf>
    <xf numFmtId="185" fontId="17" fillId="0" borderId="0" xfId="51" applyNumberFormat="1" applyFont="1" applyAlignment="1">
      <alignment horizontal="center" vertical="center" wrapText="1"/>
    </xf>
    <xf numFmtId="185" fontId="17" fillId="0" borderId="0" xfId="51" applyNumberFormat="1" applyFont="1" applyAlignment="1">
      <alignment horizontal="center" vertical="top" wrapText="1"/>
    </xf>
    <xf numFmtId="185" fontId="1" fillId="0" borderId="0" xfId="0" applyNumberFormat="1" applyFont="1" applyAlignment="1">
      <alignment horizontal="right"/>
    </xf>
    <xf numFmtId="0" fontId="5" fillId="0" borderId="0" xfId="0" applyFont="1"/>
    <xf numFmtId="0" fontId="17" fillId="0" borderId="0" xfId="0" applyFont="1" applyAlignment="1">
      <alignment horizontal="left" vertical="center"/>
    </xf>
    <xf numFmtId="185" fontId="11" fillId="0" borderId="0" xfId="51" applyNumberFormat="1" applyFont="1" applyAlignment="1">
      <alignment horizontal="right" vertical="center"/>
    </xf>
    <xf numFmtId="2" fontId="1" fillId="0" borderId="0" xfId="0" applyNumberFormat="1" applyFont="1" applyAlignment="1">
      <alignment horizontal="right"/>
    </xf>
    <xf numFmtId="2" fontId="1" fillId="2" borderId="0" xfId="0" applyNumberFormat="1" applyFont="1" applyFill="1" applyAlignment="1">
      <alignment horizontal="right"/>
    </xf>
    <xf numFmtId="0" fontId="6" fillId="0" borderId="75" xfId="0" applyFont="1" applyBorder="1" applyAlignment="1">
      <alignment horizontal="right" vertical="center"/>
    </xf>
    <xf numFmtId="0" fontId="6" fillId="0" borderId="28" xfId="0" applyFont="1" applyBorder="1" applyAlignment="1">
      <alignment horizontal="right" vertical="center"/>
    </xf>
    <xf numFmtId="0" fontId="11" fillId="0" borderId="17" xfId="0" applyFont="1" applyBorder="1" applyAlignment="1">
      <alignment horizontal="center"/>
    </xf>
    <xf numFmtId="10" fontId="6" fillId="0" borderId="22" xfId="0" applyNumberFormat="1" applyFont="1" applyBorder="1" applyAlignment="1">
      <alignment horizontal="center" vertical="center"/>
    </xf>
    <xf numFmtId="9" fontId="11" fillId="0" borderId="17" xfId="1" applyNumberFormat="1" applyFont="1" applyBorder="1" applyAlignment="1">
      <alignment horizontal="center" vertical="center"/>
    </xf>
    <xf numFmtId="4" fontId="6" fillId="0" borderId="22" xfId="0" applyNumberFormat="1" applyFont="1" applyBorder="1" applyAlignment="1">
      <alignment horizontal="center" vertical="center"/>
    </xf>
    <xf numFmtId="182" fontId="10" fillId="0" borderId="22" xfId="0" applyNumberFormat="1" applyFont="1" applyBorder="1" applyAlignment="1">
      <alignment horizontal="center" vertical="center"/>
    </xf>
    <xf numFmtId="2" fontId="11" fillId="0" borderId="5" xfId="0" applyNumberFormat="1" applyFont="1" applyBorder="1" applyAlignment="1">
      <alignment horizontal="center" vertical="center" wrapText="1"/>
    </xf>
    <xf numFmtId="182" fontId="11" fillId="0" borderId="22" xfId="0" applyNumberFormat="1" applyFont="1" applyBorder="1" applyAlignment="1">
      <alignment horizontal="center" vertical="center" wrapText="1"/>
    </xf>
    <xf numFmtId="2" fontId="17" fillId="0" borderId="5" xfId="3" applyNumberFormat="1" applyFont="1" applyBorder="1" applyAlignment="1">
      <alignment horizontal="center" vertical="center"/>
    </xf>
    <xf numFmtId="178" fontId="11" fillId="0" borderId="22" xfId="1" applyNumberFormat="1" applyFont="1" applyBorder="1" applyAlignment="1">
      <alignment horizontal="right" vertical="center"/>
    </xf>
    <xf numFmtId="180" fontId="11" fillId="0" borderId="22" xfId="51" applyNumberFormat="1" applyFont="1" applyBorder="1" applyAlignment="1">
      <alignment horizontal="center" vertical="center"/>
    </xf>
    <xf numFmtId="2" fontId="17" fillId="0" borderId="5" xfId="3" applyNumberFormat="1" applyFont="1" applyFill="1" applyBorder="1" applyAlignment="1">
      <alignment horizontal="right" vertical="center"/>
    </xf>
    <xf numFmtId="178" fontId="11" fillId="0" borderId="22" xfId="51" applyNumberFormat="1" applyFont="1" applyBorder="1" applyAlignment="1">
      <alignment horizontal="right" vertical="center"/>
    </xf>
    <xf numFmtId="2" fontId="17" fillId="0" borderId="19" xfId="3" applyNumberFormat="1" applyFont="1" applyBorder="1" applyAlignment="1">
      <alignment horizontal="right" vertical="center"/>
    </xf>
    <xf numFmtId="178" fontId="11" fillId="0" borderId="37" xfId="51" applyNumberFormat="1" applyFont="1" applyBorder="1" applyAlignment="1">
      <alignment horizontal="right" vertical="center"/>
    </xf>
    <xf numFmtId="186" fontId="12" fillId="0" borderId="0" xfId="3" applyNumberFormat="1" applyFont="1" applyBorder="1" applyAlignment="1">
      <alignment horizontal="center"/>
    </xf>
    <xf numFmtId="186" fontId="17" fillId="0" borderId="0" xfId="3" applyNumberFormat="1" applyFont="1" applyBorder="1" applyAlignment="1">
      <alignment horizontal="center" vertical="center" wrapText="1"/>
    </xf>
    <xf numFmtId="2" fontId="17" fillId="0" borderId="0" xfId="3" applyNumberFormat="1" applyFont="1" applyBorder="1" applyAlignment="1">
      <alignment horizontal="right" vertical="center"/>
    </xf>
    <xf numFmtId="0" fontId="22" fillId="0" borderId="0" xfId="0" applyFont="1"/>
    <xf numFmtId="0" fontId="22" fillId="0" borderId="0" xfId="0" applyFont="1" applyAlignment="1">
      <alignment horizontal="center"/>
    </xf>
    <xf numFmtId="3" fontId="22" fillId="0" borderId="0" xfId="0" applyNumberFormat="1" applyFont="1"/>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4" fillId="0" borderId="29" xfId="0" applyFont="1" applyBorder="1" applyAlignment="1">
      <alignment horizontal="center" vertical="center" wrapText="1"/>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25" fillId="0" borderId="76" xfId="0" applyFont="1" applyBorder="1" applyAlignment="1">
      <alignment horizontal="center" vertical="center" wrapText="1"/>
    </xf>
    <xf numFmtId="0" fontId="25" fillId="0" borderId="9" xfId="0" applyFont="1" applyBorder="1" applyAlignment="1">
      <alignment horizontal="center" vertical="center" wrapText="1"/>
    </xf>
    <xf numFmtId="3" fontId="25" fillId="0" borderId="9"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5" xfId="0" applyFont="1" applyBorder="1"/>
    <xf numFmtId="0" fontId="24" fillId="0" borderId="4" xfId="0" applyFont="1" applyBorder="1" applyAlignment="1">
      <alignment horizontal="center"/>
    </xf>
    <xf numFmtId="179" fontId="24" fillId="0" borderId="5" xfId="0" applyNumberFormat="1" applyFont="1" applyBorder="1" applyAlignment="1">
      <alignment horizontal="center"/>
    </xf>
    <xf numFmtId="178" fontId="24" fillId="0" borderId="5" xfId="0" applyNumberFormat="1" applyFont="1" applyBorder="1"/>
    <xf numFmtId="178" fontId="24" fillId="0" borderId="5" xfId="0" applyNumberFormat="1" applyFont="1" applyBorder="1" applyAlignment="1">
      <alignment horizontal="center"/>
    </xf>
    <xf numFmtId="16" fontId="24" fillId="0" borderId="4" xfId="0" applyNumberFormat="1" applyFont="1" applyBorder="1" applyAlignment="1">
      <alignment horizontal="center"/>
    </xf>
    <xf numFmtId="4" fontId="24" fillId="0" borderId="5" xfId="0" applyNumberFormat="1" applyFont="1" applyBorder="1"/>
    <xf numFmtId="186" fontId="24" fillId="0" borderId="5" xfId="0" applyNumberFormat="1" applyFont="1" applyBorder="1" applyAlignment="1">
      <alignment horizontal="center"/>
    </xf>
    <xf numFmtId="179" fontId="24" fillId="0" borderId="7" xfId="0" applyNumberFormat="1" applyFont="1" applyBorder="1" applyAlignment="1">
      <alignment horizontal="center"/>
    </xf>
    <xf numFmtId="4" fontId="24" fillId="0" borderId="7" xfId="0" applyNumberFormat="1" applyFont="1" applyBorder="1"/>
    <xf numFmtId="58" fontId="23" fillId="0" borderId="77" xfId="0" applyNumberFormat="1" applyFont="1" applyBorder="1" applyAlignment="1">
      <alignment horizontal="right"/>
    </xf>
    <xf numFmtId="58" fontId="23" fillId="0" borderId="78" xfId="0" applyNumberFormat="1" applyFont="1" applyBorder="1" applyAlignment="1">
      <alignment horizontal="right"/>
    </xf>
    <xf numFmtId="58" fontId="23" fillId="0" borderId="79" xfId="0" applyNumberFormat="1" applyFont="1" applyBorder="1" applyAlignment="1">
      <alignment horizontal="right"/>
    </xf>
    <xf numFmtId="0" fontId="26" fillId="0" borderId="0" xfId="0" applyFont="1"/>
    <xf numFmtId="0" fontId="26" fillId="0" borderId="0" xfId="0" applyFont="1" applyAlignment="1">
      <alignment horizontal="center"/>
    </xf>
    <xf numFmtId="3" fontId="26" fillId="0" borderId="0" xfId="0" applyNumberFormat="1" applyFont="1"/>
    <xf numFmtId="0" fontId="27"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applyAlignment="1">
      <alignment horizontal="center" vertical="top" wrapText="1"/>
    </xf>
    <xf numFmtId="0" fontId="16" fillId="0" borderId="6" xfId="0" applyFont="1" applyBorder="1" applyAlignment="1">
      <alignment horizontal="center" vertical="center"/>
    </xf>
    <xf numFmtId="0" fontId="16" fillId="0" borderId="16" xfId="0" applyFont="1" applyBorder="1" applyAlignment="1">
      <alignment horizontal="center" vertical="center"/>
    </xf>
    <xf numFmtId="0" fontId="16" fillId="0" borderId="33" xfId="0" applyFont="1" applyBorder="1" applyAlignment="1">
      <alignment horizontal="center" vertical="center"/>
    </xf>
    <xf numFmtId="0" fontId="16" fillId="0" borderId="30" xfId="0" applyFont="1" applyBorder="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80" xfId="0" applyFont="1" applyBorder="1" applyAlignment="1">
      <alignment horizontal="center" vertical="center"/>
    </xf>
    <xf numFmtId="0" fontId="16" fillId="0" borderId="32" xfId="0" applyFont="1" applyBorder="1" applyAlignment="1">
      <alignment horizontal="center" vertical="center"/>
    </xf>
    <xf numFmtId="0" fontId="23" fillId="0" borderId="20" xfId="0" applyFont="1" applyBorder="1" applyAlignment="1">
      <alignment horizontal="center" vertical="center"/>
    </xf>
    <xf numFmtId="0" fontId="24" fillId="0" borderId="34" xfId="0" applyFont="1" applyBorder="1" applyAlignment="1">
      <alignment horizontal="center" vertical="center"/>
    </xf>
    <xf numFmtId="0" fontId="25" fillId="0" borderId="33" xfId="0" applyFont="1" applyBorder="1" applyAlignment="1">
      <alignment horizontal="left" vertical="center"/>
    </xf>
    <xf numFmtId="0" fontId="25" fillId="0" borderId="81" xfId="0" applyFont="1" applyBorder="1" applyAlignment="1">
      <alignment horizontal="left" vertical="center"/>
    </xf>
    <xf numFmtId="0" fontId="24" fillId="0" borderId="82" xfId="0" applyFont="1" applyBorder="1" applyAlignment="1">
      <alignment horizontal="center" vertical="center"/>
    </xf>
    <xf numFmtId="3" fontId="25" fillId="0" borderId="80" xfId="0" applyNumberFormat="1" applyFont="1" applyBorder="1" applyAlignment="1">
      <alignment horizontal="left" wrapText="1"/>
    </xf>
    <xf numFmtId="3" fontId="25" fillId="0" borderId="83" xfId="0" applyNumberFormat="1" applyFont="1" applyBorder="1" applyAlignment="1">
      <alignment horizontal="left" wrapText="1"/>
    </xf>
    <xf numFmtId="0" fontId="25" fillId="0" borderId="10" xfId="0" applyFont="1" applyBorder="1" applyAlignment="1">
      <alignment horizontal="center" vertical="center" wrapText="1"/>
    </xf>
    <xf numFmtId="0" fontId="25" fillId="0" borderId="21" xfId="0" applyFont="1" applyBorder="1" applyAlignment="1">
      <alignment horizontal="center" vertical="center" wrapText="1"/>
    </xf>
    <xf numFmtId="0" fontId="26" fillId="0" borderId="0" xfId="0" applyFont="1" applyAlignment="1">
      <alignment horizontal="center" wrapText="1"/>
    </xf>
    <xf numFmtId="0" fontId="25" fillId="0" borderId="80" xfId="0" applyFont="1" applyBorder="1" applyAlignment="1">
      <alignment horizontal="center" vertical="center" wrapText="1"/>
    </xf>
    <xf numFmtId="0" fontId="25" fillId="0" borderId="83" xfId="0" applyFont="1" applyBorder="1" applyAlignment="1">
      <alignment horizontal="center" vertical="center" wrapText="1"/>
    </xf>
    <xf numFmtId="178" fontId="6" fillId="0" borderId="6" xfId="51" applyNumberFormat="1" applyFont="1" applyBorder="1" applyAlignment="1">
      <alignment horizontal="center" vertical="center"/>
    </xf>
    <xf numFmtId="178" fontId="6" fillId="0" borderId="28" xfId="51" applyNumberFormat="1" applyFont="1" applyBorder="1" applyAlignment="1">
      <alignment horizontal="center" vertical="center"/>
    </xf>
    <xf numFmtId="0" fontId="28" fillId="0" borderId="0" xfId="0" applyFont="1"/>
    <xf numFmtId="4" fontId="24" fillId="0" borderId="6" xfId="0" applyNumberFormat="1" applyFont="1" applyBorder="1"/>
    <xf numFmtId="4" fontId="24" fillId="0" borderId="28" xfId="0" applyNumberFormat="1" applyFont="1" applyBorder="1"/>
    <xf numFmtId="4" fontId="24" fillId="0" borderId="81" xfId="0" applyNumberFormat="1" applyFont="1" applyBorder="1"/>
    <xf numFmtId="4" fontId="23" fillId="0" borderId="19" xfId="0" applyNumberFormat="1" applyFont="1" applyBorder="1" applyAlignment="1">
      <alignment horizontal="center"/>
    </xf>
    <xf numFmtId="4" fontId="23" fillId="0" borderId="84" xfId="0" applyNumberFormat="1" applyFont="1" applyBorder="1" applyAlignment="1">
      <alignment horizontal="center"/>
    </xf>
    <xf numFmtId="4" fontId="23" fillId="0" borderId="85" xfId="0" applyNumberFormat="1" applyFont="1" applyBorder="1" applyAlignment="1">
      <alignment horizontal="center"/>
    </xf>
    <xf numFmtId="0" fontId="25" fillId="0" borderId="0" xfId="0" applyFont="1"/>
    <xf numFmtId="0" fontId="6" fillId="0" borderId="0" xfId="0" applyFont="1" applyAlignment="1">
      <alignment horizontal="center"/>
    </xf>
    <xf numFmtId="0" fontId="6" fillId="0" borderId="0" xfId="0" applyFont="1" applyAlignment="1">
      <alignment vertical="top" wrapText="1"/>
    </xf>
    <xf numFmtId="0" fontId="16" fillId="0" borderId="17" xfId="0" applyFont="1" applyBorder="1" applyAlignment="1">
      <alignment horizontal="center" vertical="center"/>
    </xf>
    <xf numFmtId="0" fontId="16" fillId="0" borderId="34" xfId="0" applyFont="1" applyBorder="1" applyAlignment="1">
      <alignment horizontal="center" vertical="center"/>
    </xf>
    <xf numFmtId="0" fontId="16" fillId="0" borderId="35" xfId="0" applyFont="1" applyBorder="1" applyAlignment="1">
      <alignment horizontal="center" vertical="center"/>
    </xf>
    <xf numFmtId="0" fontId="16" fillId="0" borderId="82" xfId="0" applyFont="1" applyBorder="1" applyAlignment="1">
      <alignment horizontal="center" vertical="center"/>
    </xf>
    <xf numFmtId="181" fontId="6" fillId="0" borderId="6" xfId="0" applyNumberFormat="1" applyFont="1" applyBorder="1" applyAlignment="1">
      <alignment horizontal="center" vertical="center"/>
    </xf>
    <xf numFmtId="181" fontId="6" fillId="0" borderId="16" xfId="0" applyNumberFormat="1" applyFont="1" applyBorder="1" applyAlignment="1">
      <alignment horizontal="center" vertical="center"/>
    </xf>
    <xf numFmtId="181" fontId="6" fillId="0" borderId="17" xfId="0" applyNumberFormat="1" applyFont="1" applyBorder="1" applyAlignment="1">
      <alignment horizontal="center" vertical="center"/>
    </xf>
    <xf numFmtId="0" fontId="11" fillId="0" borderId="5" xfId="0" applyFont="1" applyBorder="1" applyAlignment="1">
      <alignment vertical="center"/>
    </xf>
    <xf numFmtId="181" fontId="11" fillId="0" borderId="5" xfId="0" applyNumberFormat="1" applyFont="1" applyBorder="1" applyAlignment="1">
      <alignment vertical="center"/>
    </xf>
    <xf numFmtId="0" fontId="1" fillId="0" borderId="5" xfId="0" applyFont="1" applyBorder="1" applyAlignment="1">
      <alignment vertical="center"/>
    </xf>
    <xf numFmtId="0" fontId="6" fillId="0" borderId="33"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80"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82"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Border="1" applyAlignment="1">
      <alignment vertical="center" wrapText="1"/>
    </xf>
    <xf numFmtId="181" fontId="11" fillId="0" borderId="5" xfId="0" applyNumberFormat="1" applyFont="1" applyBorder="1" applyAlignment="1">
      <alignment horizontal="center" vertical="center" wrapText="1"/>
    </xf>
    <xf numFmtId="0" fontId="29" fillId="0" borderId="5" xfId="52" applyFont="1" applyBorder="1" applyAlignment="1">
      <alignment vertical="center"/>
    </xf>
    <xf numFmtId="0" fontId="30" fillId="0" borderId="5" xfId="52" applyFont="1" applyBorder="1" applyAlignment="1">
      <alignment vertical="center"/>
    </xf>
    <xf numFmtId="0" fontId="6" fillId="0" borderId="5" xfId="0" applyFont="1" applyBorder="1" applyAlignment="1">
      <alignment vertical="center"/>
    </xf>
    <xf numFmtId="178" fontId="11" fillId="0" borderId="5" xfId="51" applyNumberFormat="1" applyFont="1" applyBorder="1" applyAlignment="1">
      <alignment horizontal="center" vertical="center"/>
    </xf>
    <xf numFmtId="178" fontId="6" fillId="0" borderId="5" xfId="1" applyNumberFormat="1" applyFont="1" applyBorder="1" applyAlignment="1">
      <alignment horizontal="center" vertical="center"/>
    </xf>
    <xf numFmtId="181" fontId="11" fillId="0" borderId="5" xfId="1" applyNumberFormat="1"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right" vertical="center"/>
    </xf>
    <xf numFmtId="178" fontId="6" fillId="0" borderId="5" xfId="51" applyNumberFormat="1" applyFont="1" applyBorder="1" applyAlignment="1">
      <alignment horizontal="center" vertical="center"/>
    </xf>
    <xf numFmtId="0" fontId="11" fillId="0" borderId="5" xfId="0" applyFont="1" applyBorder="1" applyAlignment="1">
      <alignment horizontal="left" vertical="center"/>
    </xf>
    <xf numFmtId="178" fontId="11" fillId="0" borderId="5" xfId="0" applyNumberFormat="1" applyFont="1" applyBorder="1" applyAlignment="1">
      <alignment vertical="center"/>
    </xf>
    <xf numFmtId="0" fontId="1" fillId="0" borderId="5" xfId="0" applyFont="1" applyBorder="1" applyAlignment="1">
      <alignment horizontal="center" vertical="center" wrapText="1"/>
    </xf>
    <xf numFmtId="181" fontId="1" fillId="0" borderId="5"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9" fillId="0" borderId="1" xfId="0" applyFont="1" applyBorder="1"/>
    <xf numFmtId="0" fontId="9" fillId="0" borderId="2" xfId="0" applyFont="1" applyBorder="1"/>
    <xf numFmtId="0" fontId="9" fillId="0" borderId="3" xfId="0" applyFont="1" applyBorder="1"/>
    <xf numFmtId="0" fontId="9" fillId="0" borderId="0" xfId="0" applyFont="1"/>
    <xf numFmtId="0" fontId="16" fillId="0" borderId="2" xfId="0" applyFont="1" applyBorder="1" applyAlignment="1">
      <alignment horizontal="center"/>
    </xf>
    <xf numFmtId="0" fontId="6" fillId="0" borderId="3" xfId="0" applyFont="1" applyBorder="1" applyAlignment="1">
      <alignment horizontal="center"/>
    </xf>
    <xf numFmtId="0" fontId="9" fillId="0" borderId="3" xfId="0" applyFont="1" applyBorder="1" applyAlignment="1">
      <alignment horizontal="center"/>
    </xf>
    <xf numFmtId="0" fontId="9" fillId="0" borderId="0" xfId="0" applyFont="1" applyAlignment="1">
      <alignment horizontal="center"/>
    </xf>
    <xf numFmtId="0" fontId="9" fillId="0" borderId="0" xfId="0" applyFont="1" applyAlignment="1">
      <alignment horizontal="left"/>
    </xf>
    <xf numFmtId="58" fontId="6" fillId="0" borderId="0" xfId="0" applyNumberFormat="1" applyFont="1" applyAlignment="1">
      <alignment horizontal="center"/>
    </xf>
    <xf numFmtId="0" fontId="16" fillId="0" borderId="0" xfId="0" applyFont="1" applyAlignment="1">
      <alignment horizontal="center"/>
    </xf>
    <xf numFmtId="0" fontId="9" fillId="0" borderId="0" xfId="0" applyFont="1" applyAlignment="1">
      <alignment horizontal="center" vertical="center"/>
    </xf>
    <xf numFmtId="0" fontId="9" fillId="0" borderId="3" xfId="0" applyFont="1" applyBorder="1" applyAlignment="1">
      <alignment vertical="center"/>
    </xf>
    <xf numFmtId="0" fontId="9" fillId="0" borderId="0" xfId="0" applyFont="1" applyAlignment="1">
      <alignment vertical="center"/>
    </xf>
    <xf numFmtId="0" fontId="6" fillId="0" borderId="0" xfId="0" applyFont="1" applyAlignment="1">
      <alignment horizontal="left" vertical="center" wrapText="1"/>
    </xf>
    <xf numFmtId="0" fontId="31" fillId="0" borderId="0" xfId="0" applyFont="1" applyAlignment="1">
      <alignment horizontal="left" vertical="center" wrapText="1"/>
    </xf>
    <xf numFmtId="0" fontId="9" fillId="0" borderId="0" xfId="0" applyFont="1" applyAlignment="1">
      <alignment wrapText="1"/>
    </xf>
    <xf numFmtId="0" fontId="6" fillId="0" borderId="0" xfId="50" applyFont="1" applyAlignment="1">
      <alignment horizontal="left" vertical="center" wrapText="1"/>
    </xf>
    <xf numFmtId="0" fontId="9" fillId="0" borderId="3" xfId="0" applyFont="1" applyBorder="1" applyAlignment="1">
      <alignment horizontal="left"/>
    </xf>
    <xf numFmtId="178" fontId="12" fillId="0" borderId="0" xfId="0" applyNumberFormat="1" applyFont="1" applyAlignment="1">
      <alignment wrapText="1"/>
    </xf>
    <xf numFmtId="178" fontId="17" fillId="0" borderId="0" xfId="0" applyNumberFormat="1" applyFont="1" applyAlignment="1">
      <alignment horizontal="center" wrapText="1"/>
    </xf>
    <xf numFmtId="179" fontId="9" fillId="0" borderId="0" xfId="0" applyNumberFormat="1" applyFont="1" applyAlignment="1">
      <alignment horizontal="left"/>
    </xf>
    <xf numFmtId="0" fontId="9" fillId="0" borderId="0" xfId="0" applyFont="1" applyAlignment="1">
      <alignment horizontal="left" vertical="center"/>
    </xf>
    <xf numFmtId="179" fontId="9" fillId="0" borderId="0" xfId="0" applyNumberFormat="1" applyFont="1"/>
    <xf numFmtId="39" fontId="9" fillId="0" borderId="0" xfId="0" applyNumberFormat="1" applyFont="1" applyAlignment="1">
      <alignment horizontal="left"/>
    </xf>
    <xf numFmtId="0" fontId="32" fillId="0" borderId="1" xfId="0" applyFont="1" applyBorder="1" applyAlignment="1">
      <alignment horizontal="center"/>
    </xf>
    <xf numFmtId="0" fontId="32" fillId="0" borderId="2" xfId="0" applyFont="1" applyBorder="1" applyAlignment="1">
      <alignment horizontal="center"/>
    </xf>
    <xf numFmtId="0" fontId="32" fillId="0" borderId="2" xfId="0" applyFont="1" applyBorder="1" applyAlignment="1">
      <alignment horizontal="center" wrapText="1"/>
    </xf>
    <xf numFmtId="4" fontId="9" fillId="0" borderId="3" xfId="0" applyNumberFormat="1" applyFont="1" applyBorder="1" applyAlignment="1">
      <alignment horizontal="center"/>
    </xf>
    <xf numFmtId="4" fontId="9" fillId="0" borderId="0" xfId="0" applyNumberFormat="1" applyFont="1" applyAlignment="1">
      <alignment horizontal="center"/>
    </xf>
    <xf numFmtId="4" fontId="9" fillId="0" borderId="67" xfId="0" applyNumberFormat="1" applyFont="1" applyBorder="1"/>
    <xf numFmtId="4" fontId="9" fillId="0" borderId="26" xfId="0" applyNumberFormat="1" applyFont="1" applyBorder="1"/>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0" xfId="0" applyFont="1" applyAlignment="1">
      <alignment horizontal="center" vertical="center" wrapText="1"/>
    </xf>
    <xf numFmtId="0" fontId="32" fillId="0" borderId="0" xfId="0" applyFont="1" applyAlignment="1">
      <alignment horizontal="center" vertical="center"/>
    </xf>
    <xf numFmtId="0" fontId="32" fillId="0" borderId="0" xfId="0" applyFont="1" applyAlignment="1">
      <alignment horizontal="center"/>
    </xf>
    <xf numFmtId="179" fontId="9" fillId="0" borderId="3" xfId="0" applyNumberFormat="1" applyFont="1" applyBorder="1" applyAlignment="1">
      <alignment horizontal="center"/>
    </xf>
    <xf numFmtId="179" fontId="9" fillId="0" borderId="0" xfId="0" applyNumberFormat="1" applyFont="1" applyAlignment="1">
      <alignment horizontal="center"/>
    </xf>
    <xf numFmtId="179" fontId="9" fillId="0" borderId="67" xfId="0" applyNumberFormat="1" applyFont="1" applyBorder="1"/>
    <xf numFmtId="179" fontId="9" fillId="0" borderId="26" xfId="0" applyNumberFormat="1" applyFont="1" applyBorder="1"/>
    <xf numFmtId="0" fontId="9" fillId="0" borderId="20" xfId="0" applyFont="1" applyBorder="1"/>
    <xf numFmtId="0" fontId="9" fillId="0" borderId="21" xfId="0" applyFont="1" applyBorder="1"/>
    <xf numFmtId="0" fontId="6" fillId="0" borderId="21" xfId="0" applyFont="1" applyBorder="1" applyAlignment="1">
      <alignment horizontal="center"/>
    </xf>
    <xf numFmtId="0" fontId="6" fillId="0" borderId="21" xfId="0" applyFont="1" applyBorder="1" applyAlignment="1">
      <alignment horizontal="left" vertical="center" wrapText="1"/>
    </xf>
    <xf numFmtId="0" fontId="22" fillId="0" borderId="0" xfId="0" applyFont="1" applyAlignment="1">
      <alignment vertical="center" wrapText="1"/>
    </xf>
    <xf numFmtId="0" fontId="31" fillId="0" borderId="21" xfId="0" applyFont="1" applyBorder="1" applyAlignment="1">
      <alignment horizontal="left" vertical="center" wrapText="1"/>
    </xf>
    <xf numFmtId="0" fontId="22" fillId="0" borderId="0" xfId="0" applyFont="1" applyAlignment="1">
      <alignment horizontal="left" vertical="center" wrapText="1"/>
    </xf>
    <xf numFmtId="0" fontId="6" fillId="0" borderId="21" xfId="50" applyFont="1" applyBorder="1" applyAlignment="1">
      <alignment horizontal="left" vertical="center" wrapText="1"/>
    </xf>
    <xf numFmtId="0" fontId="34" fillId="0" borderId="0" xfId="50" applyFont="1" applyAlignment="1">
      <alignment vertical="center" wrapText="1"/>
    </xf>
    <xf numFmtId="0" fontId="35" fillId="0" borderId="0" xfId="0" applyFont="1" applyAlignment="1">
      <alignment horizontal="left" vertical="top" wrapText="1"/>
    </xf>
    <xf numFmtId="0" fontId="9" fillId="0" borderId="0" xfId="0" applyFont="1" applyAlignment="1">
      <alignment horizontal="right"/>
    </xf>
    <xf numFmtId="187" fontId="9" fillId="0" borderId="0" xfId="0" applyNumberFormat="1" applyFont="1" applyAlignment="1">
      <alignment horizontal="left"/>
    </xf>
    <xf numFmtId="58" fontId="9" fillId="0" borderId="0" xfId="0" applyNumberFormat="1" applyFont="1"/>
    <xf numFmtId="58" fontId="9" fillId="0" borderId="21" xfId="0" applyNumberFormat="1" applyFont="1" applyBorder="1"/>
    <xf numFmtId="0" fontId="32" fillId="0" borderId="20" xfId="0" applyFont="1" applyBorder="1" applyAlignment="1">
      <alignment horizontal="center"/>
    </xf>
    <xf numFmtId="4" fontId="9" fillId="0" borderId="21" xfId="0" applyNumberFormat="1" applyFont="1" applyBorder="1" applyAlignment="1">
      <alignment horizontal="center"/>
    </xf>
    <xf numFmtId="4" fontId="9" fillId="0" borderId="27" xfId="0" applyNumberFormat="1" applyFont="1" applyBorder="1"/>
    <xf numFmtId="0" fontId="9" fillId="0" borderId="21" xfId="0" applyFont="1" applyBorder="1" applyAlignment="1">
      <alignment horizontal="center"/>
    </xf>
    <xf numFmtId="0" fontId="32" fillId="0" borderId="21" xfId="0" applyFont="1" applyBorder="1" applyAlignment="1">
      <alignment horizontal="center"/>
    </xf>
    <xf numFmtId="179" fontId="9" fillId="0" borderId="21" xfId="0" applyNumberFormat="1" applyFont="1" applyBorder="1" applyAlignment="1">
      <alignment horizontal="center"/>
    </xf>
    <xf numFmtId="179" fontId="9" fillId="0" borderId="27" xfId="0" applyNumberFormat="1" applyFont="1" applyBorder="1"/>
    <xf numFmtId="2" fontId="17" fillId="0" borderId="5" xfId="0" applyNumberFormat="1" applyFont="1" applyBorder="1" applyAlignment="1" quotePrefix="1">
      <alignment horizontal="center" vertical="center" wrapText="1"/>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cccc" xfId="50"/>
    <cellStyle name="Normal_PURSANTAJ" xfId="51"/>
    <cellStyle name="Normal_Sayfa1" xf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4"/>
  <sheetViews>
    <sheetView tabSelected="1" view="pageBreakPreview" zoomScaleNormal="100" workbookViewId="0">
      <selection activeCell="G25" sqref="G25"/>
    </sheetView>
  </sheetViews>
  <sheetFormatPr defaultColWidth="9" defaultRowHeight="15"/>
  <cols>
    <col min="1" max="3" width="9.14285714285714" style="2"/>
    <col min="4" max="4" width="9.28571428571429" style="2" customWidth="1"/>
    <col min="5" max="6" width="9.14285714285714" style="2"/>
    <col min="7" max="7" width="18.7142857142857" style="2" customWidth="1"/>
    <col min="8" max="12" width="9.14285714285714" style="2"/>
    <col min="13" max="13" width="7.57142857142857" style="2" customWidth="1"/>
    <col min="14" max="16384" width="9.14285714285714" style="2"/>
  </cols>
  <sheetData>
    <row r="1" spans="1:13">
      <c r="A1" s="364"/>
      <c r="B1" s="365"/>
      <c r="C1" s="365"/>
      <c r="D1" s="365"/>
      <c r="E1" s="365"/>
      <c r="F1" s="365"/>
      <c r="G1" s="365"/>
      <c r="H1" s="365"/>
      <c r="I1" s="365"/>
      <c r="J1" s="365"/>
      <c r="K1" s="365"/>
      <c r="L1" s="365"/>
      <c r="M1" s="406"/>
    </row>
    <row r="2" ht="15.75" spans="1:13">
      <c r="A2" s="366"/>
      <c r="B2" s="367"/>
      <c r="C2" s="367"/>
      <c r="D2" s="367"/>
      <c r="E2" s="367"/>
      <c r="F2" s="367"/>
      <c r="G2" s="367"/>
      <c r="H2" s="367"/>
      <c r="I2" s="367"/>
      <c r="J2" s="367"/>
      <c r="K2" s="367"/>
      <c r="L2" s="367"/>
      <c r="M2" s="407"/>
    </row>
    <row r="3" ht="18.75" spans="1:13">
      <c r="A3" s="364"/>
      <c r="B3" s="365"/>
      <c r="C3" s="365"/>
      <c r="D3" s="365"/>
      <c r="E3" s="368" t="s">
        <v>0</v>
      </c>
      <c r="F3" s="368"/>
      <c r="G3" s="368"/>
      <c r="H3" s="368"/>
      <c r="I3" s="368"/>
      <c r="J3" s="365"/>
      <c r="K3" s="365"/>
      <c r="L3" s="365"/>
      <c r="M3" s="406"/>
    </row>
    <row r="4" ht="15.75" spans="1:13">
      <c r="A4" s="369" t="s">
        <v>1</v>
      </c>
      <c r="B4" s="327"/>
      <c r="C4" s="327"/>
      <c r="D4" s="327"/>
      <c r="E4" s="327"/>
      <c r="F4" s="327"/>
      <c r="G4" s="327"/>
      <c r="H4" s="327"/>
      <c r="I4" s="327"/>
      <c r="J4" s="327"/>
      <c r="K4" s="327"/>
      <c r="L4" s="327"/>
      <c r="M4" s="408"/>
    </row>
    <row r="5" spans="1:13">
      <c r="A5" s="366"/>
      <c r="B5" s="367"/>
      <c r="C5" s="367"/>
      <c r="D5" s="367"/>
      <c r="E5" s="367"/>
      <c r="F5" s="367"/>
      <c r="G5" s="367"/>
      <c r="H5" s="367"/>
      <c r="I5" s="367"/>
      <c r="J5" s="367"/>
      <c r="K5" s="371"/>
      <c r="L5" s="367"/>
      <c r="M5" s="407"/>
    </row>
    <row r="6" ht="15.75" spans="1:13">
      <c r="A6" s="370"/>
      <c r="B6" s="371"/>
      <c r="C6" s="367"/>
      <c r="D6" s="372" t="s">
        <v>2</v>
      </c>
      <c r="E6" s="367"/>
      <c r="F6" s="371" t="s">
        <v>3</v>
      </c>
      <c r="G6" s="373">
        <v>46188</v>
      </c>
      <c r="H6" s="371"/>
      <c r="I6" s="371"/>
      <c r="J6" s="371"/>
      <c r="K6" s="371"/>
      <c r="L6" s="367"/>
      <c r="M6" s="407"/>
    </row>
    <row r="7" ht="18.75" spans="1:13">
      <c r="A7" s="370"/>
      <c r="B7" s="371"/>
      <c r="C7" s="367"/>
      <c r="D7" s="367" t="s">
        <v>4</v>
      </c>
      <c r="E7" s="367"/>
      <c r="F7" s="371" t="s">
        <v>3</v>
      </c>
      <c r="G7" s="374">
        <v>1</v>
      </c>
      <c r="H7" s="371"/>
      <c r="I7" s="371"/>
      <c r="J7" s="371"/>
      <c r="K7" s="371"/>
      <c r="L7" s="367"/>
      <c r="M7" s="407"/>
    </row>
    <row r="8" spans="1:13">
      <c r="A8" s="370"/>
      <c r="B8" s="371"/>
      <c r="C8" s="367"/>
      <c r="D8" s="372" t="s">
        <v>5</v>
      </c>
      <c r="E8" s="367"/>
      <c r="F8" s="371" t="s">
        <v>3</v>
      </c>
      <c r="G8" s="375">
        <v>2026</v>
      </c>
      <c r="H8" s="371"/>
      <c r="I8" s="371"/>
      <c r="J8" s="371"/>
      <c r="K8" s="371"/>
      <c r="L8" s="367"/>
      <c r="M8" s="407"/>
    </row>
    <row r="9" spans="1:13">
      <c r="A9" s="370"/>
      <c r="B9" s="371"/>
      <c r="C9" s="372"/>
      <c r="D9" s="371"/>
      <c r="E9" s="367"/>
      <c r="F9" s="371"/>
      <c r="G9" s="371"/>
      <c r="H9" s="371"/>
      <c r="I9" s="371"/>
      <c r="J9" s="371"/>
      <c r="K9" s="371"/>
      <c r="L9" s="367"/>
      <c r="M9" s="407"/>
    </row>
    <row r="10" ht="51.75" customHeight="1" spans="1:27">
      <c r="A10" s="376" t="s">
        <v>6</v>
      </c>
      <c r="B10" s="377"/>
      <c r="C10" s="377"/>
      <c r="D10" s="367"/>
      <c r="E10" s="367"/>
      <c r="F10" s="375" t="s">
        <v>3</v>
      </c>
      <c r="G10" s="378" t="s">
        <v>7</v>
      </c>
      <c r="H10" s="378"/>
      <c r="I10" s="378"/>
      <c r="J10" s="378"/>
      <c r="K10" s="378"/>
      <c r="L10" s="378"/>
      <c r="M10" s="409"/>
      <c r="N10" s="410"/>
      <c r="O10" s="410"/>
      <c r="P10" s="410"/>
      <c r="Q10" s="410"/>
      <c r="R10" s="410"/>
      <c r="S10" s="410"/>
      <c r="T10" s="410"/>
      <c r="U10" s="410"/>
      <c r="V10" s="410"/>
      <c r="W10" s="410"/>
      <c r="X10" s="410"/>
      <c r="Y10" s="410"/>
      <c r="Z10" s="410"/>
      <c r="AA10" s="410"/>
    </row>
    <row r="11" ht="21.75" customHeight="1" spans="1:27">
      <c r="A11" s="376"/>
      <c r="B11" s="377"/>
      <c r="C11" s="377"/>
      <c r="D11" s="367"/>
      <c r="E11" s="367"/>
      <c r="F11" s="375"/>
      <c r="G11" s="379"/>
      <c r="H11" s="379"/>
      <c r="I11" s="379"/>
      <c r="J11" s="379"/>
      <c r="K11" s="379"/>
      <c r="L11" s="379"/>
      <c r="M11" s="411"/>
      <c r="N11" s="412"/>
      <c r="O11" s="412"/>
      <c r="P11" s="412"/>
      <c r="Q11" s="412"/>
      <c r="R11" s="412"/>
      <c r="S11" s="412"/>
      <c r="T11" s="412"/>
      <c r="U11" s="412"/>
      <c r="V11" s="412"/>
      <c r="W11" s="412"/>
      <c r="X11" s="412"/>
      <c r="Y11" s="412"/>
      <c r="Z11" s="412"/>
      <c r="AA11" s="412"/>
    </row>
    <row r="12" spans="1:13">
      <c r="A12" s="366" t="s">
        <v>8</v>
      </c>
      <c r="B12" s="380"/>
      <c r="C12" s="380"/>
      <c r="D12" s="380"/>
      <c r="E12" s="367"/>
      <c r="F12" s="371" t="s">
        <v>3</v>
      </c>
      <c r="G12" s="371"/>
      <c r="H12" s="371"/>
      <c r="I12" s="371"/>
      <c r="J12" s="371"/>
      <c r="K12" s="367"/>
      <c r="L12" s="367"/>
      <c r="M12" s="407"/>
    </row>
    <row r="13" ht="27.75" customHeight="1" spans="1:17">
      <c r="A13" s="376" t="s">
        <v>9</v>
      </c>
      <c r="B13" s="377"/>
      <c r="C13" s="377"/>
      <c r="D13" s="367"/>
      <c r="E13" s="367"/>
      <c r="F13" s="375" t="s">
        <v>3</v>
      </c>
      <c r="G13" s="381" t="s">
        <v>10</v>
      </c>
      <c r="H13" s="381"/>
      <c r="I13" s="381"/>
      <c r="J13" s="381"/>
      <c r="K13" s="381"/>
      <c r="L13" s="381"/>
      <c r="M13" s="413"/>
      <c r="N13" s="414"/>
      <c r="O13" s="414"/>
      <c r="P13" s="414"/>
      <c r="Q13" s="414"/>
    </row>
    <row r="14" spans="1:13">
      <c r="A14" s="382" t="s">
        <v>11</v>
      </c>
      <c r="B14" s="372"/>
      <c r="C14" s="372"/>
      <c r="D14" s="367"/>
      <c r="E14" s="367"/>
      <c r="F14" s="371" t="s">
        <v>3</v>
      </c>
      <c r="G14" s="383">
        <v>145000</v>
      </c>
      <c r="H14" s="383"/>
      <c r="I14" s="372"/>
      <c r="J14" s="372"/>
      <c r="K14" s="372"/>
      <c r="L14" s="367"/>
      <c r="M14" s="407"/>
    </row>
    <row r="15" spans="1:13">
      <c r="A15" s="382" t="s">
        <v>12</v>
      </c>
      <c r="B15" s="372"/>
      <c r="C15" s="372"/>
      <c r="D15" s="367"/>
      <c r="E15" s="367"/>
      <c r="F15" s="371" t="s">
        <v>3</v>
      </c>
      <c r="G15" s="384"/>
      <c r="H15" s="384"/>
      <c r="I15" s="372"/>
      <c r="J15" s="372"/>
      <c r="K15" s="372"/>
      <c r="L15" s="367"/>
      <c r="M15" s="407"/>
    </row>
    <row r="16" spans="1:13">
      <c r="A16" s="382" t="s">
        <v>13</v>
      </c>
      <c r="B16" s="372"/>
      <c r="C16" s="372"/>
      <c r="D16" s="367"/>
      <c r="E16" s="367"/>
      <c r="F16" s="371" t="s">
        <v>3</v>
      </c>
      <c r="G16" s="384"/>
      <c r="H16" s="384"/>
      <c r="I16" s="372"/>
      <c r="J16" s="372"/>
      <c r="K16" s="372"/>
      <c r="L16" s="367"/>
      <c r="M16" s="407"/>
    </row>
    <row r="17" spans="1:13">
      <c r="A17" s="382" t="s">
        <v>14</v>
      </c>
      <c r="B17" s="372"/>
      <c r="C17" s="372"/>
      <c r="D17" s="367"/>
      <c r="E17" s="367"/>
      <c r="F17" s="371" t="s">
        <v>3</v>
      </c>
      <c r="G17" s="383">
        <v>145000</v>
      </c>
      <c r="H17" s="383"/>
      <c r="I17" s="372"/>
      <c r="J17" s="372"/>
      <c r="K17" s="372"/>
      <c r="L17" s="367"/>
      <c r="M17" s="407"/>
    </row>
    <row r="18" spans="1:13">
      <c r="A18" s="382" t="s">
        <v>15</v>
      </c>
      <c r="B18" s="372"/>
      <c r="C18" s="372"/>
      <c r="D18" s="367"/>
      <c r="E18" s="367"/>
      <c r="F18" s="371" t="s">
        <v>3</v>
      </c>
      <c r="G18" s="385">
        <v>46181</v>
      </c>
      <c r="H18" s="385"/>
      <c r="I18" s="415"/>
      <c r="J18" s="415"/>
      <c r="K18" s="415"/>
      <c r="L18" s="367"/>
      <c r="M18" s="407"/>
    </row>
    <row r="19" spans="1:13">
      <c r="A19" s="382" t="s">
        <v>16</v>
      </c>
      <c r="B19" s="372"/>
      <c r="C19" s="372"/>
      <c r="D19" s="367"/>
      <c r="E19" s="367"/>
      <c r="F19" s="371" t="s">
        <v>3</v>
      </c>
      <c r="G19" s="385"/>
      <c r="H19" s="385"/>
      <c r="I19" s="416" t="s">
        <v>17</v>
      </c>
      <c r="J19" s="417"/>
      <c r="K19" s="372"/>
      <c r="L19" s="367"/>
      <c r="M19" s="407"/>
    </row>
    <row r="20" spans="1:13">
      <c r="A20" s="382" t="s">
        <v>18</v>
      </c>
      <c r="B20" s="372"/>
      <c r="C20" s="372"/>
      <c r="D20" s="372"/>
      <c r="E20" s="367"/>
      <c r="F20" s="371" t="s">
        <v>3</v>
      </c>
      <c r="G20" s="372" t="s">
        <v>19</v>
      </c>
      <c r="H20" s="372"/>
      <c r="I20" s="372"/>
      <c r="J20" s="372"/>
      <c r="K20" s="372"/>
      <c r="L20" s="367"/>
      <c r="M20" s="407"/>
    </row>
    <row r="21" spans="1:13">
      <c r="A21" s="382" t="s">
        <v>20</v>
      </c>
      <c r="B21" s="372"/>
      <c r="C21" s="372"/>
      <c r="D21" s="372"/>
      <c r="E21" s="367"/>
      <c r="F21" s="371" t="s">
        <v>3</v>
      </c>
      <c r="G21" s="372"/>
      <c r="H21" s="372"/>
      <c r="I21" s="372"/>
      <c r="J21" s="372"/>
      <c r="K21" s="372"/>
      <c r="L21" s="367"/>
      <c r="M21" s="407"/>
    </row>
    <row r="22" spans="1:13">
      <c r="A22" s="382" t="s">
        <v>21</v>
      </c>
      <c r="B22" s="372"/>
      <c r="C22" s="372"/>
      <c r="D22" s="372"/>
      <c r="E22" s="367"/>
      <c r="F22" s="371" t="s">
        <v>3</v>
      </c>
      <c r="G22" s="385">
        <v>46182</v>
      </c>
      <c r="H22" s="385"/>
      <c r="I22" s="372"/>
      <c r="J22" s="372"/>
      <c r="K22" s="372"/>
      <c r="L22" s="418"/>
      <c r="M22" s="419"/>
    </row>
    <row r="23" spans="1:13">
      <c r="A23" s="382" t="s">
        <v>22</v>
      </c>
      <c r="B23" s="372"/>
      <c r="C23" s="372"/>
      <c r="D23" s="372"/>
      <c r="E23" s="367"/>
      <c r="F23" s="371" t="s">
        <v>3</v>
      </c>
      <c r="G23" s="386"/>
      <c r="H23" s="372"/>
      <c r="I23" s="372"/>
      <c r="J23" s="372"/>
      <c r="K23" s="372"/>
      <c r="L23" s="367"/>
      <c r="M23" s="419"/>
    </row>
    <row r="24" spans="1:13">
      <c r="A24" s="382" t="s">
        <v>23</v>
      </c>
      <c r="B24" s="372"/>
      <c r="C24" s="372"/>
      <c r="D24" s="372"/>
      <c r="E24" s="367"/>
      <c r="F24" s="371" t="s">
        <v>3</v>
      </c>
      <c r="G24" s="386"/>
      <c r="H24" s="387"/>
      <c r="I24" s="372"/>
      <c r="J24" s="372"/>
      <c r="K24" s="372"/>
      <c r="L24" s="367"/>
      <c r="M24" s="419"/>
    </row>
    <row r="25" spans="1:13">
      <c r="A25" s="382" t="s">
        <v>24</v>
      </c>
      <c r="B25" s="372"/>
      <c r="C25" s="372"/>
      <c r="D25" s="372"/>
      <c r="E25" s="367"/>
      <c r="F25" s="371" t="s">
        <v>3</v>
      </c>
      <c r="G25" s="388"/>
      <c r="H25" s="372"/>
      <c r="I25" s="372"/>
      <c r="J25" s="372"/>
      <c r="K25" s="372"/>
      <c r="L25" s="367"/>
      <c r="M25" s="419"/>
    </row>
    <row r="26" spans="1:13">
      <c r="A26" s="382" t="s">
        <v>25</v>
      </c>
      <c r="B26" s="380"/>
      <c r="C26" s="380"/>
      <c r="D26" s="380"/>
      <c r="E26" s="367"/>
      <c r="F26" s="371" t="s">
        <v>3</v>
      </c>
      <c r="G26" s="388"/>
      <c r="H26" s="372"/>
      <c r="I26" s="372"/>
      <c r="J26" s="372"/>
      <c r="K26" s="372"/>
      <c r="L26" s="367"/>
      <c r="M26" s="407"/>
    </row>
    <row r="27" spans="1:13">
      <c r="A27" s="366"/>
      <c r="B27" s="372"/>
      <c r="C27" s="372"/>
      <c r="D27" s="372"/>
      <c r="E27" s="367"/>
      <c r="F27" s="371"/>
      <c r="G27" s="367"/>
      <c r="H27" s="367"/>
      <c r="I27" s="367"/>
      <c r="J27" s="367"/>
      <c r="K27" s="367"/>
      <c r="L27" s="367"/>
      <c r="M27" s="407"/>
    </row>
    <row r="28" spans="1:13">
      <c r="A28" s="382"/>
      <c r="B28" s="372"/>
      <c r="C28" s="372"/>
      <c r="D28" s="372"/>
      <c r="E28" s="367"/>
      <c r="F28" s="367"/>
      <c r="G28" s="367"/>
      <c r="H28" s="367"/>
      <c r="I28" s="367"/>
      <c r="J28" s="367"/>
      <c r="K28" s="367"/>
      <c r="L28" s="367"/>
      <c r="M28" s="407"/>
    </row>
    <row r="29" spans="1:13">
      <c r="A29" s="382"/>
      <c r="B29" s="372"/>
      <c r="C29" s="372"/>
      <c r="D29" s="372"/>
      <c r="E29" s="367"/>
      <c r="F29" s="367"/>
      <c r="G29" s="367"/>
      <c r="H29" s="367"/>
      <c r="I29" s="367"/>
      <c r="J29" s="367"/>
      <c r="K29" s="367"/>
      <c r="L29" s="367"/>
      <c r="M29" s="407"/>
    </row>
    <row r="30" spans="1:13">
      <c r="A30" s="382"/>
      <c r="B30" s="372"/>
      <c r="C30" s="372"/>
      <c r="D30" s="372"/>
      <c r="E30" s="367"/>
      <c r="F30" s="367"/>
      <c r="G30" s="367"/>
      <c r="H30" s="367"/>
      <c r="I30" s="367"/>
      <c r="J30" s="367"/>
      <c r="K30" s="367"/>
      <c r="L30" s="367"/>
      <c r="M30" s="407"/>
    </row>
    <row r="31" spans="1:13">
      <c r="A31" s="382"/>
      <c r="B31" s="372"/>
      <c r="C31" s="372"/>
      <c r="D31" s="372"/>
      <c r="E31" s="367"/>
      <c r="F31" s="367"/>
      <c r="G31" s="367"/>
      <c r="H31" s="367"/>
      <c r="I31" s="367"/>
      <c r="J31" s="367"/>
      <c r="K31" s="367"/>
      <c r="L31" s="367"/>
      <c r="M31" s="407"/>
    </row>
    <row r="32" ht="15.75" spans="1:13">
      <c r="A32" s="382"/>
      <c r="B32" s="372"/>
      <c r="C32" s="372"/>
      <c r="D32" s="372"/>
      <c r="E32" s="367"/>
      <c r="F32" s="367"/>
      <c r="G32" s="367"/>
      <c r="H32" s="367"/>
      <c r="I32" s="367"/>
      <c r="J32" s="367"/>
      <c r="K32" s="367"/>
      <c r="L32" s="367"/>
      <c r="M32" s="407"/>
    </row>
    <row r="33" ht="66.6" customHeight="1" spans="1:13">
      <c r="A33" s="389" t="s">
        <v>11</v>
      </c>
      <c r="B33" s="390"/>
      <c r="C33" s="390"/>
      <c r="D33" s="391" t="s">
        <v>26</v>
      </c>
      <c r="E33" s="391"/>
      <c r="F33" s="391"/>
      <c r="G33" s="391"/>
      <c r="H33" s="390" t="s">
        <v>27</v>
      </c>
      <c r="I33" s="390"/>
      <c r="J33" s="390"/>
      <c r="K33" s="390" t="s">
        <v>28</v>
      </c>
      <c r="L33" s="390"/>
      <c r="M33" s="420"/>
    </row>
    <row r="34" spans="1:13">
      <c r="A34" s="392" t="s">
        <v>29</v>
      </c>
      <c r="B34" s="393"/>
      <c r="C34" s="393"/>
      <c r="D34" s="371" t="s">
        <v>29</v>
      </c>
      <c r="E34" s="371"/>
      <c r="F34" s="371"/>
      <c r="G34" s="371"/>
      <c r="H34" s="393" t="s">
        <v>29</v>
      </c>
      <c r="I34" s="393"/>
      <c r="J34" s="393"/>
      <c r="K34" s="393" t="s">
        <v>29</v>
      </c>
      <c r="L34" s="393"/>
      <c r="M34" s="421"/>
    </row>
    <row r="35" spans="1:13">
      <c r="A35" s="392" t="s">
        <v>29</v>
      </c>
      <c r="B35" s="393"/>
      <c r="C35" s="393"/>
      <c r="D35" s="371" t="s">
        <v>29</v>
      </c>
      <c r="E35" s="371"/>
      <c r="F35" s="371"/>
      <c r="G35" s="371"/>
      <c r="H35" s="393" t="s">
        <v>29</v>
      </c>
      <c r="I35" s="393"/>
      <c r="J35" s="393"/>
      <c r="K35" s="393" t="s">
        <v>29</v>
      </c>
      <c r="L35" s="393"/>
      <c r="M35" s="421"/>
    </row>
    <row r="36" spans="1:13">
      <c r="A36" s="392" t="s">
        <v>29</v>
      </c>
      <c r="B36" s="393"/>
      <c r="C36" s="393"/>
      <c r="D36" s="371" t="s">
        <v>29</v>
      </c>
      <c r="E36" s="371"/>
      <c r="F36" s="371"/>
      <c r="G36" s="371"/>
      <c r="H36" s="393" t="s">
        <v>29</v>
      </c>
      <c r="I36" s="393"/>
      <c r="J36" s="393"/>
      <c r="K36" s="393" t="s">
        <v>29</v>
      </c>
      <c r="L36" s="393"/>
      <c r="M36" s="421"/>
    </row>
    <row r="37" spans="1:13">
      <c r="A37" s="392" t="s">
        <v>29</v>
      </c>
      <c r="B37" s="393"/>
      <c r="C37" s="393"/>
      <c r="D37" s="371" t="s">
        <v>29</v>
      </c>
      <c r="E37" s="371"/>
      <c r="F37" s="371"/>
      <c r="G37" s="371"/>
      <c r="H37" s="393" t="s">
        <v>29</v>
      </c>
      <c r="I37" s="393"/>
      <c r="J37" s="393"/>
      <c r="K37" s="393" t="s">
        <v>29</v>
      </c>
      <c r="L37" s="393"/>
      <c r="M37" s="421"/>
    </row>
    <row r="38" spans="1:13">
      <c r="A38" s="392" t="s">
        <v>29</v>
      </c>
      <c r="B38" s="393"/>
      <c r="C38" s="393"/>
      <c r="D38" s="371" t="s">
        <v>29</v>
      </c>
      <c r="E38" s="371"/>
      <c r="F38" s="371"/>
      <c r="G38" s="371"/>
      <c r="H38" s="393" t="s">
        <v>29</v>
      </c>
      <c r="I38" s="393"/>
      <c r="J38" s="393"/>
      <c r="K38" s="393" t="s">
        <v>29</v>
      </c>
      <c r="L38" s="393"/>
      <c r="M38" s="421"/>
    </row>
    <row r="39" spans="1:13">
      <c r="A39" s="392" t="s">
        <v>29</v>
      </c>
      <c r="B39" s="393"/>
      <c r="C39" s="393"/>
      <c r="D39" s="371" t="s">
        <v>29</v>
      </c>
      <c r="E39" s="371"/>
      <c r="F39" s="371"/>
      <c r="G39" s="371"/>
      <c r="H39" s="393" t="s">
        <v>29</v>
      </c>
      <c r="I39" s="393"/>
      <c r="J39" s="393"/>
      <c r="K39" s="393" t="s">
        <v>29</v>
      </c>
      <c r="L39" s="393"/>
      <c r="M39" s="421"/>
    </row>
    <row r="40" ht="15.75" spans="1:13">
      <c r="A40" s="394"/>
      <c r="B40" s="395"/>
      <c r="C40" s="395"/>
      <c r="D40" s="165"/>
      <c r="E40" s="165"/>
      <c r="F40" s="165"/>
      <c r="G40" s="165"/>
      <c r="H40" s="395"/>
      <c r="I40" s="395"/>
      <c r="J40" s="395"/>
      <c r="K40" s="395"/>
      <c r="L40" s="395"/>
      <c r="M40" s="422"/>
    </row>
    <row r="41" spans="1:13">
      <c r="A41" s="396" t="s">
        <v>30</v>
      </c>
      <c r="B41" s="397"/>
      <c r="C41" s="397"/>
      <c r="D41" s="371"/>
      <c r="E41" s="371"/>
      <c r="F41" s="371"/>
      <c r="G41" s="371"/>
      <c r="H41" s="371"/>
      <c r="I41" s="371"/>
      <c r="J41" s="371"/>
      <c r="K41" s="371"/>
      <c r="L41" s="371"/>
      <c r="M41" s="423"/>
    </row>
    <row r="42" spans="1:13">
      <c r="A42" s="398"/>
      <c r="B42" s="399"/>
      <c r="C42" s="399"/>
      <c r="D42" s="400" t="s">
        <v>31</v>
      </c>
      <c r="E42" s="400"/>
      <c r="F42" s="400"/>
      <c r="G42" s="400"/>
      <c r="H42" s="401" t="s">
        <v>32</v>
      </c>
      <c r="I42" s="401"/>
      <c r="J42" s="401"/>
      <c r="K42" s="401" t="s">
        <v>33</v>
      </c>
      <c r="L42" s="401"/>
      <c r="M42" s="424"/>
    </row>
    <row r="43" spans="1:13">
      <c r="A43" s="402" t="s">
        <v>29</v>
      </c>
      <c r="B43" s="403"/>
      <c r="C43" s="403"/>
      <c r="D43" s="371" t="s">
        <v>29</v>
      </c>
      <c r="E43" s="371"/>
      <c r="F43" s="371"/>
      <c r="G43" s="371"/>
      <c r="H43" s="371" t="s">
        <v>29</v>
      </c>
      <c r="I43" s="371"/>
      <c r="J43" s="371"/>
      <c r="K43" s="403" t="s">
        <v>29</v>
      </c>
      <c r="L43" s="403"/>
      <c r="M43" s="425"/>
    </row>
    <row r="44" spans="1:13">
      <c r="A44" s="402" t="s">
        <v>29</v>
      </c>
      <c r="B44" s="403"/>
      <c r="C44" s="403"/>
      <c r="D44" s="371" t="s">
        <v>29</v>
      </c>
      <c r="E44" s="371"/>
      <c r="F44" s="371"/>
      <c r="G44" s="371"/>
      <c r="H44" s="371" t="s">
        <v>29</v>
      </c>
      <c r="I44" s="371"/>
      <c r="J44" s="371"/>
      <c r="K44" s="403" t="s">
        <v>29</v>
      </c>
      <c r="L44" s="403"/>
      <c r="M44" s="425"/>
    </row>
    <row r="45" spans="1:13">
      <c r="A45" s="402" t="s">
        <v>29</v>
      </c>
      <c r="B45" s="403"/>
      <c r="C45" s="403"/>
      <c r="D45" s="371" t="s">
        <v>29</v>
      </c>
      <c r="E45" s="371"/>
      <c r="F45" s="371"/>
      <c r="G45" s="371"/>
      <c r="H45" s="371" t="s">
        <v>29</v>
      </c>
      <c r="I45" s="371"/>
      <c r="J45" s="371"/>
      <c r="K45" s="403" t="s">
        <v>29</v>
      </c>
      <c r="L45" s="403"/>
      <c r="M45" s="425"/>
    </row>
    <row r="46" spans="1:13">
      <c r="A46" s="402" t="s">
        <v>29</v>
      </c>
      <c r="B46" s="403"/>
      <c r="C46" s="403"/>
      <c r="D46" s="371" t="s">
        <v>29</v>
      </c>
      <c r="E46" s="371"/>
      <c r="F46" s="371"/>
      <c r="G46" s="371"/>
      <c r="H46" s="371" t="s">
        <v>29</v>
      </c>
      <c r="I46" s="371"/>
      <c r="J46" s="371"/>
      <c r="K46" s="403" t="s">
        <v>29</v>
      </c>
      <c r="L46" s="403"/>
      <c r="M46" s="425"/>
    </row>
    <row r="47" spans="1:13">
      <c r="A47" s="402" t="s">
        <v>29</v>
      </c>
      <c r="B47" s="403"/>
      <c r="C47" s="403"/>
      <c r="D47" s="371" t="s">
        <v>29</v>
      </c>
      <c r="E47" s="371"/>
      <c r="F47" s="371"/>
      <c r="G47" s="371"/>
      <c r="H47" s="371" t="s">
        <v>29</v>
      </c>
      <c r="I47" s="371"/>
      <c r="J47" s="371"/>
      <c r="K47" s="403" t="s">
        <v>29</v>
      </c>
      <c r="L47" s="403"/>
      <c r="M47" s="425"/>
    </row>
    <row r="48" spans="1:13">
      <c r="A48" s="402" t="s">
        <v>29</v>
      </c>
      <c r="B48" s="403"/>
      <c r="C48" s="403"/>
      <c r="D48" s="371" t="s">
        <v>29</v>
      </c>
      <c r="E48" s="371"/>
      <c r="F48" s="371"/>
      <c r="G48" s="371"/>
      <c r="H48" s="371" t="s">
        <v>29</v>
      </c>
      <c r="I48" s="371"/>
      <c r="J48" s="371"/>
      <c r="K48" s="403" t="s">
        <v>29</v>
      </c>
      <c r="L48" s="403"/>
      <c r="M48" s="425"/>
    </row>
    <row r="49" ht="15.75" spans="1:13">
      <c r="A49" s="404"/>
      <c r="B49" s="405"/>
      <c r="C49" s="405"/>
      <c r="D49" s="165"/>
      <c r="E49" s="165"/>
      <c r="F49" s="165"/>
      <c r="G49" s="167"/>
      <c r="H49" s="167"/>
      <c r="I49" s="167"/>
      <c r="J49" s="165"/>
      <c r="K49" s="405"/>
      <c r="L49" s="405"/>
      <c r="M49" s="426"/>
    </row>
    <row r="50" spans="1:13">
      <c r="A50" s="367"/>
      <c r="B50" s="367"/>
      <c r="C50" s="367"/>
      <c r="D50" s="367"/>
      <c r="E50" s="367"/>
      <c r="F50" s="367"/>
      <c r="G50" s="367"/>
      <c r="H50" s="367"/>
      <c r="I50" s="367"/>
      <c r="J50" s="367"/>
      <c r="K50" s="367"/>
      <c r="L50" s="367"/>
      <c r="M50" s="367"/>
    </row>
    <row r="51" spans="1:13">
      <c r="A51" s="367"/>
      <c r="B51" s="367"/>
      <c r="C51" s="367"/>
      <c r="D51" s="367"/>
      <c r="E51" s="367"/>
      <c r="F51" s="367"/>
      <c r="G51" s="367"/>
      <c r="H51" s="367"/>
      <c r="I51" s="367"/>
      <c r="J51" s="367"/>
      <c r="K51" s="367"/>
      <c r="L51" s="367"/>
      <c r="M51" s="367"/>
    </row>
    <row r="52" spans="1:13">
      <c r="A52" s="367"/>
      <c r="B52" s="367"/>
      <c r="C52" s="367"/>
      <c r="D52" s="367"/>
      <c r="E52" s="367"/>
      <c r="F52" s="367"/>
      <c r="G52" s="367"/>
      <c r="H52" s="367"/>
      <c r="I52" s="367"/>
      <c r="J52" s="367"/>
      <c r="K52" s="367"/>
      <c r="L52" s="367"/>
      <c r="M52" s="367"/>
    </row>
    <row r="53" spans="1:13">
      <c r="A53" s="367"/>
      <c r="B53" s="367"/>
      <c r="C53" s="367"/>
      <c r="D53" s="367"/>
      <c r="E53" s="367"/>
      <c r="F53" s="367"/>
      <c r="G53" s="367"/>
      <c r="H53" s="367"/>
      <c r="I53" s="367"/>
      <c r="J53" s="367"/>
      <c r="K53" s="367"/>
      <c r="L53" s="367"/>
      <c r="M53" s="367"/>
    </row>
    <row r="54" spans="1:13">
      <c r="A54" s="367"/>
      <c r="B54" s="367"/>
      <c r="C54" s="367"/>
      <c r="D54" s="367"/>
      <c r="E54" s="367"/>
      <c r="F54" s="367"/>
      <c r="G54" s="367"/>
      <c r="H54" s="367"/>
      <c r="I54" s="367"/>
      <c r="J54" s="367"/>
      <c r="K54" s="367"/>
      <c r="L54" s="367"/>
      <c r="M54" s="367"/>
    </row>
  </sheetData>
  <mergeCells count="10">
    <mergeCell ref="E3:I3"/>
    <mergeCell ref="A4:M4"/>
    <mergeCell ref="G10:M10"/>
    <mergeCell ref="G11:M11"/>
    <mergeCell ref="G13:M13"/>
    <mergeCell ref="G15:H15"/>
    <mergeCell ref="G16:H16"/>
    <mergeCell ref="A33:B33"/>
    <mergeCell ref="D33:F33"/>
    <mergeCell ref="A41:C42"/>
  </mergeCells>
  <pageMargins left="0.7" right="0.7" top="0.75" bottom="0.75" header="0.3" footer="0.3"/>
  <pageSetup paperSize="9" scale="67"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9"/>
  <sheetViews>
    <sheetView view="pageLayout" zoomScale="70" zoomScaleNormal="100" topLeftCell="A13" workbookViewId="0">
      <selection activeCell="A35" sqref="A35:B39"/>
    </sheetView>
  </sheetViews>
  <sheetFormatPr defaultColWidth="9" defaultRowHeight="15" outlineLevelCol="4"/>
  <cols>
    <col min="1" max="1" width="9.14285714285714" style="2"/>
    <col min="2" max="2" width="33.1428571428571" style="2" customWidth="1"/>
    <col min="3" max="3" width="13.5714285714286" style="2" customWidth="1"/>
    <col min="4" max="4" width="14" style="2" customWidth="1"/>
    <col min="5" max="5" width="25.4285714285714" style="2" customWidth="1"/>
    <col min="6" max="16384" width="9.14285714285714" style="2"/>
  </cols>
  <sheetData>
    <row r="1" ht="15.75" spans="1:5">
      <c r="A1" s="333" t="s">
        <v>34</v>
      </c>
      <c r="B1" s="334"/>
      <c r="C1" s="334"/>
      <c r="D1" s="334"/>
      <c r="E1" s="335"/>
    </row>
    <row r="2" ht="15.75" spans="1:5">
      <c r="A2" s="336"/>
      <c r="B2" s="336"/>
      <c r="C2" s="337"/>
      <c r="D2" s="336"/>
      <c r="E2" s="337"/>
    </row>
    <row r="3" ht="15.75" spans="1:5">
      <c r="A3" s="336"/>
      <c r="B3" s="336"/>
      <c r="C3" s="337"/>
      <c r="D3" s="336"/>
      <c r="E3" s="337" t="s">
        <v>35</v>
      </c>
    </row>
    <row r="4" ht="15.75" spans="1:5">
      <c r="A4" s="338"/>
      <c r="B4" s="336"/>
      <c r="C4" s="337"/>
      <c r="D4" s="336"/>
      <c r="E4" s="337" t="s">
        <v>36</v>
      </c>
    </row>
    <row r="5" spans="1:5">
      <c r="A5" s="339" t="str">
        <f>'ÖN KAPAK'!G10</f>
        <v>10 adet işyerinin Tesviye Beton Atımı 2</v>
      </c>
      <c r="B5" s="340"/>
      <c r="C5" s="340"/>
      <c r="D5" s="340"/>
      <c r="E5" s="341"/>
    </row>
    <row r="6" spans="1:5">
      <c r="A6" s="342"/>
      <c r="B6" s="343"/>
      <c r="C6" s="343"/>
      <c r="D6" s="343"/>
      <c r="E6" s="344"/>
    </row>
    <row r="7" ht="31.5" spans="1:5">
      <c r="A7" s="345" t="s">
        <v>37</v>
      </c>
      <c r="B7" s="346" t="s">
        <v>38</v>
      </c>
      <c r="C7" s="347" t="s">
        <v>39</v>
      </c>
      <c r="D7" s="345" t="s">
        <v>40</v>
      </c>
      <c r="E7" s="347" t="s">
        <v>41</v>
      </c>
    </row>
    <row r="8" ht="16.5" spans="1:5">
      <c r="A8" s="194">
        <v>1</v>
      </c>
      <c r="B8" s="348" t="s">
        <v>42</v>
      </c>
      <c r="C8" s="349"/>
      <c r="D8" s="350"/>
      <c r="E8" s="351">
        <f>'ÖN KAPAK'!G14</f>
        <v>145000</v>
      </c>
    </row>
    <row r="9" ht="16.5" spans="1:5">
      <c r="A9" s="194"/>
      <c r="B9" s="348"/>
      <c r="C9" s="349"/>
      <c r="D9" s="350"/>
      <c r="E9" s="351"/>
    </row>
    <row r="10" ht="16.5" spans="1:5">
      <c r="A10" s="194"/>
      <c r="B10" s="348"/>
      <c r="C10" s="349"/>
      <c r="D10" s="350"/>
      <c r="E10" s="351"/>
    </row>
    <row r="11" ht="16.5" spans="1:5">
      <c r="A11" s="194"/>
      <c r="B11" s="348"/>
      <c r="C11" s="349"/>
      <c r="D11" s="350"/>
      <c r="E11" s="351"/>
    </row>
    <row r="12" ht="16.5" spans="1:5">
      <c r="A12" s="194"/>
      <c r="B12" s="348"/>
      <c r="C12" s="349"/>
      <c r="D12" s="336"/>
      <c r="E12" s="219"/>
    </row>
    <row r="13" ht="15.75" spans="1:5">
      <c r="A13" s="194"/>
      <c r="B13" s="336"/>
      <c r="C13" s="337"/>
      <c r="D13" s="336"/>
      <c r="E13" s="352"/>
    </row>
    <row r="14" ht="15.75" spans="1:5">
      <c r="A14" s="350"/>
      <c r="B14" s="350"/>
      <c r="C14" s="337"/>
      <c r="D14" s="336"/>
      <c r="E14" s="352"/>
    </row>
    <row r="15" ht="15.75" spans="1:5">
      <c r="A15" s="350"/>
      <c r="B15" s="350"/>
      <c r="C15" s="337"/>
      <c r="D15" s="336"/>
      <c r="E15" s="352"/>
    </row>
    <row r="16" ht="15.75" spans="1:5">
      <c r="A16" s="350"/>
      <c r="B16" s="350"/>
      <c r="C16" s="337"/>
      <c r="D16" s="336"/>
      <c r="E16" s="352"/>
    </row>
    <row r="17" ht="15.75" spans="1:5">
      <c r="A17" s="350"/>
      <c r="B17" s="350"/>
      <c r="C17" s="337"/>
      <c r="D17" s="336"/>
      <c r="E17" s="352"/>
    </row>
    <row r="18" ht="15.75" spans="1:5">
      <c r="A18" s="350"/>
      <c r="B18" s="350"/>
      <c r="C18" s="337"/>
      <c r="D18" s="336"/>
      <c r="E18" s="352"/>
    </row>
    <row r="19" ht="15.75" spans="1:5">
      <c r="A19" s="350"/>
      <c r="B19" s="350"/>
      <c r="C19" s="337"/>
      <c r="D19" s="336"/>
      <c r="E19" s="352"/>
    </row>
    <row r="20" ht="15.75" spans="1:5">
      <c r="A20" s="350"/>
      <c r="B20" s="350"/>
      <c r="C20" s="337"/>
      <c r="D20" s="336"/>
      <c r="E20" s="352"/>
    </row>
    <row r="21" ht="15.75" spans="1:5">
      <c r="A21" s="350"/>
      <c r="B21" s="350"/>
      <c r="C21" s="337"/>
      <c r="D21" s="336"/>
      <c r="E21" s="352"/>
    </row>
    <row r="22" ht="15.75" spans="1:5">
      <c r="A22" s="336"/>
      <c r="B22" s="336"/>
      <c r="C22" s="337"/>
      <c r="D22" s="336"/>
      <c r="E22" s="353"/>
    </row>
    <row r="23" ht="15.75" spans="1:5">
      <c r="A23" s="336"/>
      <c r="B23" s="336"/>
      <c r="C23" s="337"/>
      <c r="D23" s="336"/>
      <c r="E23" s="353"/>
    </row>
    <row r="24" ht="15.75" spans="1:5">
      <c r="A24" s="336"/>
      <c r="B24" s="336"/>
      <c r="C24" s="337"/>
      <c r="D24" s="336"/>
      <c r="E24" s="353"/>
    </row>
    <row r="25" ht="15.75" spans="1:5">
      <c r="A25" s="336"/>
      <c r="B25" s="336"/>
      <c r="C25" s="337"/>
      <c r="D25" s="336"/>
      <c r="E25" s="353"/>
    </row>
    <row r="26" ht="15.75" spans="1:5">
      <c r="A26" s="336"/>
      <c r="B26" s="336"/>
      <c r="C26" s="337"/>
      <c r="D26" s="336"/>
      <c r="E26" s="353"/>
    </row>
    <row r="27" ht="15.75" spans="1:5">
      <c r="A27" s="354" t="s">
        <v>43</v>
      </c>
      <c r="B27" s="355" t="s">
        <v>44</v>
      </c>
      <c r="C27" s="355"/>
      <c r="D27" s="355"/>
      <c r="E27" s="356">
        <f>'ÖN KAPAK'!G14</f>
        <v>145000</v>
      </c>
    </row>
    <row r="28" ht="15.75" spans="1:5">
      <c r="A28" s="354"/>
      <c r="B28" s="357" t="s">
        <v>45</v>
      </c>
      <c r="C28" s="357"/>
      <c r="D28" s="357"/>
      <c r="E28" s="357"/>
    </row>
    <row r="29" ht="15.75" spans="1:5">
      <c r="A29" s="354"/>
      <c r="B29" s="336" t="s">
        <v>46</v>
      </c>
      <c r="C29" s="337"/>
      <c r="D29" s="336"/>
      <c r="E29" s="337"/>
    </row>
    <row r="30" ht="15.75" spans="1:5">
      <c r="A30" s="354"/>
      <c r="B30" s="336" t="s">
        <v>47</v>
      </c>
      <c r="C30" s="337"/>
      <c r="D30" s="336"/>
      <c r="E30" s="356">
        <v>0</v>
      </c>
    </row>
    <row r="31" ht="15.75" spans="1:5">
      <c r="A31" s="354" t="s">
        <v>48</v>
      </c>
      <c r="B31" s="355" t="s">
        <v>49</v>
      </c>
      <c r="C31" s="355"/>
      <c r="D31" s="355"/>
      <c r="E31" s="358"/>
    </row>
    <row r="32" ht="15.75" spans="1:5">
      <c r="A32" s="354" t="s">
        <v>50</v>
      </c>
      <c r="B32" s="355" t="s">
        <v>51</v>
      </c>
      <c r="C32" s="355"/>
      <c r="D32" s="355"/>
      <c r="E32" s="356">
        <f>E27-E30</f>
        <v>145000</v>
      </c>
    </row>
    <row r="34" spans="1:5">
      <c r="A34" s="42" t="s">
        <v>52</v>
      </c>
      <c r="B34" s="42"/>
      <c r="C34" s="42" t="s">
        <v>53</v>
      </c>
      <c r="D34" s="42"/>
      <c r="E34" s="42" t="s">
        <v>54</v>
      </c>
    </row>
    <row r="35" ht="14.45" customHeight="1" spans="1:5">
      <c r="A35" s="359" t="str">
        <f>'ÖN KAPAK'!G13</f>
        <v>Hazır Beton Çimento Mak.San.ve Tic.Ltd.Şti.</v>
      </c>
      <c r="B35" s="359"/>
      <c r="C35" s="360" t="e">
        <f>--E3</f>
        <v>#VALUE!</v>
      </c>
      <c r="D35" s="359"/>
      <c r="E35" s="361" t="s">
        <v>55</v>
      </c>
    </row>
    <row r="36" spans="1:5">
      <c r="A36" s="359"/>
      <c r="B36" s="359"/>
      <c r="C36" s="359"/>
      <c r="D36" s="359"/>
      <c r="E36" s="362"/>
    </row>
    <row r="37" spans="1:5">
      <c r="A37" s="359"/>
      <c r="B37" s="359"/>
      <c r="C37" s="359"/>
      <c r="D37" s="359"/>
      <c r="E37" s="362"/>
    </row>
    <row r="38" spans="1:5">
      <c r="A38" s="359"/>
      <c r="B38" s="359"/>
      <c r="C38" s="359"/>
      <c r="D38" s="359"/>
      <c r="E38" s="362"/>
    </row>
    <row r="39" spans="1:5">
      <c r="A39" s="359"/>
      <c r="B39" s="359"/>
      <c r="C39" s="359"/>
      <c r="D39" s="359"/>
      <c r="E39" s="363"/>
    </row>
  </sheetData>
  <mergeCells count="12">
    <mergeCell ref="A1:E1"/>
    <mergeCell ref="B27:D27"/>
    <mergeCell ref="B28:E28"/>
    <mergeCell ref="B31:D31"/>
    <mergeCell ref="B32:D32"/>
    <mergeCell ref="A34:B34"/>
    <mergeCell ref="C34:D34"/>
    <mergeCell ref="C35:C39"/>
    <mergeCell ref="D35:D39"/>
    <mergeCell ref="E35:E39"/>
    <mergeCell ref="A5:E6"/>
    <mergeCell ref="A35:B39"/>
  </mergeCells>
  <pageMargins left="0.7" right="0.7" top="0.75" bottom="0.75" header="0.3" footer="0.3"/>
  <pageSetup paperSize="9" scale="9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6"/>
  <sheetViews>
    <sheetView view="pageBreakPreview" zoomScale="73" zoomScaleNormal="100" workbookViewId="0">
      <selection activeCell="J7" sqref="J7:K7"/>
    </sheetView>
  </sheetViews>
  <sheetFormatPr defaultColWidth="9" defaultRowHeight="15"/>
  <cols>
    <col min="1" max="1" width="11.8571428571429" style="2" customWidth="1"/>
    <col min="2" max="2" width="17.8571428571429" style="2" customWidth="1"/>
    <col min="3" max="3" width="24.4285714285714" style="2" customWidth="1"/>
    <col min="4" max="4" width="15.7142857142857" style="2" customWidth="1"/>
    <col min="5" max="5" width="24.8571428571429" style="2" customWidth="1"/>
    <col min="6" max="7" width="9.85714285714286" style="2" customWidth="1"/>
    <col min="8" max="8" width="13" style="2" customWidth="1"/>
    <col min="9" max="9" width="13.5714285714286" style="2" customWidth="1"/>
    <col min="10" max="10" width="24" style="2" customWidth="1"/>
    <col min="11" max="11" width="10.8571428571429" style="2" customWidth="1"/>
    <col min="12" max="12" width="3.14285714285714" style="2" customWidth="1"/>
    <col min="13" max="16384" width="9.14285714285714" style="2"/>
  </cols>
  <sheetData>
    <row r="1" ht="15.75" spans="1:12">
      <c r="A1" s="264"/>
      <c r="B1" s="265"/>
      <c r="C1" s="264"/>
      <c r="D1" s="266"/>
      <c r="E1" s="264"/>
      <c r="F1" s="264"/>
      <c r="G1" s="264"/>
      <c r="H1" s="264"/>
      <c r="I1" s="266"/>
      <c r="J1" s="264"/>
      <c r="K1" s="264"/>
      <c r="L1" s="264"/>
    </row>
    <row r="2" ht="18.75" spans="1:12">
      <c r="A2" s="267" t="s">
        <v>56</v>
      </c>
      <c r="B2" s="268"/>
      <c r="C2" s="268"/>
      <c r="D2" s="268"/>
      <c r="E2" s="268"/>
      <c r="F2" s="268"/>
      <c r="G2" s="268"/>
      <c r="H2" s="268"/>
      <c r="I2" s="268"/>
      <c r="J2" s="268"/>
      <c r="K2" s="305"/>
      <c r="L2" s="291"/>
    </row>
    <row r="3" spans="1:12">
      <c r="A3" s="269" t="str">
        <f>'ÖN KAPAK'!G10</f>
        <v>10 adet işyerinin Tesviye Beton Atımı 2</v>
      </c>
      <c r="B3" s="270"/>
      <c r="C3" s="270"/>
      <c r="D3" s="270"/>
      <c r="E3" s="270"/>
      <c r="F3" s="270"/>
      <c r="G3" s="270"/>
      <c r="H3" s="270"/>
      <c r="I3" s="306"/>
      <c r="J3" s="307" t="s">
        <v>57</v>
      </c>
      <c r="K3" s="308"/>
      <c r="L3" s="291"/>
    </row>
    <row r="4" spans="1:12">
      <c r="A4" s="271"/>
      <c r="B4" s="272"/>
      <c r="C4" s="272"/>
      <c r="D4" s="272"/>
      <c r="E4" s="272"/>
      <c r="F4" s="272"/>
      <c r="G4" s="272"/>
      <c r="H4" s="272"/>
      <c r="I4" s="309"/>
      <c r="J4" s="310"/>
      <c r="K4" s="311"/>
      <c r="L4" s="291"/>
    </row>
    <row r="5" spans="1:12">
      <c r="A5" s="273" t="s">
        <v>58</v>
      </c>
      <c r="B5" s="274" t="s">
        <v>59</v>
      </c>
      <c r="C5" s="274" t="s">
        <v>60</v>
      </c>
      <c r="D5" s="275" t="s">
        <v>61</v>
      </c>
      <c r="E5" s="274" t="s">
        <v>62</v>
      </c>
      <c r="F5" s="274" t="s">
        <v>63</v>
      </c>
      <c r="G5" s="274" t="s">
        <v>64</v>
      </c>
      <c r="H5" s="274" t="s">
        <v>65</v>
      </c>
      <c r="I5" s="275" t="s">
        <v>66</v>
      </c>
      <c r="J5" s="312" t="s">
        <v>67</v>
      </c>
      <c r="K5" s="313"/>
      <c r="L5" s="314"/>
    </row>
    <row r="6" ht="83.45" customHeight="1" spans="1:12">
      <c r="A6" s="276"/>
      <c r="B6" s="277"/>
      <c r="C6" s="277"/>
      <c r="D6" s="277"/>
      <c r="E6" s="277"/>
      <c r="F6" s="277"/>
      <c r="G6" s="278"/>
      <c r="H6" s="277"/>
      <c r="I6" s="277"/>
      <c r="J6" s="315"/>
      <c r="K6" s="316"/>
      <c r="L6" s="314"/>
    </row>
    <row r="7" ht="15.75" spans="1:12">
      <c r="A7" s="279">
        <v>1</v>
      </c>
      <c r="B7" s="280">
        <f>'ÖN KAPAK'!G6</f>
        <v>46188</v>
      </c>
      <c r="C7" s="281">
        <f>'ÖN KAPAK'!G14</f>
        <v>145000</v>
      </c>
      <c r="D7" s="281">
        <v>0</v>
      </c>
      <c r="E7" s="281">
        <f>C7-D7</f>
        <v>145000</v>
      </c>
      <c r="F7" s="281">
        <v>0</v>
      </c>
      <c r="G7" s="281">
        <v>0</v>
      </c>
      <c r="H7" s="282">
        <v>0</v>
      </c>
      <c r="I7" s="281">
        <v>0</v>
      </c>
      <c r="J7" s="317">
        <f t="shared" ref="J7" si="0">E7</f>
        <v>145000</v>
      </c>
      <c r="K7" s="318"/>
      <c r="L7" s="319"/>
    </row>
    <row r="8" ht="15.75" spans="1:12">
      <c r="A8" s="279"/>
      <c r="B8" s="280"/>
      <c r="C8" s="281"/>
      <c r="D8" s="281"/>
      <c r="E8" s="281"/>
      <c r="F8" s="281"/>
      <c r="G8" s="281"/>
      <c r="H8" s="282"/>
      <c r="I8" s="281"/>
      <c r="J8" s="317"/>
      <c r="K8" s="318"/>
      <c r="L8" s="319"/>
    </row>
    <row r="9" ht="15.75" spans="1:12">
      <c r="A9" s="279"/>
      <c r="B9" s="280"/>
      <c r="C9" s="281"/>
      <c r="D9" s="281"/>
      <c r="E9" s="281"/>
      <c r="F9" s="281"/>
      <c r="G9" s="281"/>
      <c r="H9" s="282"/>
      <c r="I9" s="281"/>
      <c r="J9" s="317"/>
      <c r="K9" s="318"/>
      <c r="L9" s="319"/>
    </row>
    <row r="10" ht="15.75" spans="1:12">
      <c r="A10" s="279"/>
      <c r="B10" s="280"/>
      <c r="C10" s="281"/>
      <c r="D10" s="281"/>
      <c r="E10" s="281"/>
      <c r="F10" s="281"/>
      <c r="G10" s="281"/>
      <c r="H10" s="282"/>
      <c r="I10" s="281"/>
      <c r="J10" s="317"/>
      <c r="K10" s="318"/>
      <c r="L10" s="319"/>
    </row>
    <row r="11" ht="15.75" spans="1:12">
      <c r="A11" s="283"/>
      <c r="B11" s="280"/>
      <c r="C11" s="281"/>
      <c r="D11" s="281"/>
      <c r="E11" s="281"/>
      <c r="F11" s="281"/>
      <c r="G11" s="281"/>
      <c r="H11" s="282"/>
      <c r="I11" s="281"/>
      <c r="J11" s="317"/>
      <c r="K11" s="318"/>
      <c r="L11" s="319"/>
    </row>
    <row r="12" ht="15.75" spans="1:12">
      <c r="A12" s="279"/>
      <c r="B12" s="280"/>
      <c r="C12" s="281"/>
      <c r="D12" s="281"/>
      <c r="E12" s="281"/>
      <c r="F12" s="281"/>
      <c r="G12" s="281"/>
      <c r="H12" s="282"/>
      <c r="I12" s="281"/>
      <c r="J12" s="317"/>
      <c r="K12" s="318"/>
      <c r="L12" s="319"/>
    </row>
    <row r="13" ht="15.75" spans="1:12">
      <c r="A13" s="279"/>
      <c r="B13" s="280"/>
      <c r="C13" s="281"/>
      <c r="D13" s="281"/>
      <c r="E13" s="281"/>
      <c r="F13" s="281"/>
      <c r="G13" s="281"/>
      <c r="H13" s="282"/>
      <c r="I13" s="281"/>
      <c r="J13" s="317"/>
      <c r="K13" s="318"/>
      <c r="L13" s="319"/>
    </row>
    <row r="14" ht="15.75" spans="1:12">
      <c r="A14" s="279"/>
      <c r="B14" s="280"/>
      <c r="C14" s="281"/>
      <c r="D14" s="281"/>
      <c r="E14" s="281"/>
      <c r="F14" s="281"/>
      <c r="G14" s="281"/>
      <c r="H14" s="282"/>
      <c r="I14" s="281"/>
      <c r="J14" s="317"/>
      <c r="K14" s="318"/>
      <c r="L14" s="319"/>
    </row>
    <row r="15" ht="15.75" spans="1:12">
      <c r="A15" s="279"/>
      <c r="B15" s="280"/>
      <c r="C15" s="281"/>
      <c r="D15" s="281"/>
      <c r="E15" s="281"/>
      <c r="F15" s="281"/>
      <c r="G15" s="281"/>
      <c r="H15" s="282"/>
      <c r="I15" s="281"/>
      <c r="J15" s="317"/>
      <c r="K15" s="318"/>
      <c r="L15" s="319"/>
    </row>
    <row r="16" ht="15.75" spans="1:12">
      <c r="A16" s="279"/>
      <c r="B16" s="280"/>
      <c r="C16" s="284"/>
      <c r="D16" s="284"/>
      <c r="E16" s="284"/>
      <c r="F16" s="284"/>
      <c r="G16" s="284"/>
      <c r="H16" s="285"/>
      <c r="I16" s="284"/>
      <c r="J16" s="320"/>
      <c r="K16" s="321"/>
      <c r="L16" s="319"/>
    </row>
    <row r="17" ht="15.75" spans="1:12">
      <c r="A17" s="279"/>
      <c r="B17" s="280"/>
      <c r="C17" s="284"/>
      <c r="D17" s="284"/>
      <c r="E17" s="284"/>
      <c r="F17" s="284"/>
      <c r="G17" s="284"/>
      <c r="H17" s="285"/>
      <c r="I17" s="284"/>
      <c r="J17" s="320"/>
      <c r="K17" s="321"/>
      <c r="L17" s="319"/>
    </row>
    <row r="18" ht="15.75" spans="1:12">
      <c r="A18" s="279"/>
      <c r="B18" s="280"/>
      <c r="C18" s="284"/>
      <c r="D18" s="284"/>
      <c r="E18" s="284"/>
      <c r="F18" s="284"/>
      <c r="G18" s="284"/>
      <c r="H18" s="285"/>
      <c r="I18" s="284"/>
      <c r="J18" s="320"/>
      <c r="K18" s="321"/>
      <c r="L18" s="319"/>
    </row>
    <row r="19" ht="15.75" spans="1:12">
      <c r="A19" s="279"/>
      <c r="B19" s="280"/>
      <c r="C19" s="284"/>
      <c r="D19" s="284"/>
      <c r="E19" s="284"/>
      <c r="F19" s="284"/>
      <c r="G19" s="284"/>
      <c r="H19" s="285"/>
      <c r="I19" s="284"/>
      <c r="J19" s="320"/>
      <c r="K19" s="321"/>
      <c r="L19" s="319"/>
    </row>
    <row r="20" ht="15.75" spans="1:12">
      <c r="A20" s="279"/>
      <c r="B20" s="280"/>
      <c r="C20" s="284"/>
      <c r="D20" s="284"/>
      <c r="E20" s="284"/>
      <c r="F20" s="284"/>
      <c r="G20" s="284"/>
      <c r="H20" s="285"/>
      <c r="I20" s="284"/>
      <c r="J20" s="320"/>
      <c r="K20" s="321"/>
      <c r="L20" s="319"/>
    </row>
    <row r="21" ht="15.75" spans="1:12">
      <c r="A21" s="279"/>
      <c r="B21" s="280"/>
      <c r="C21" s="284"/>
      <c r="D21" s="284"/>
      <c r="E21" s="284"/>
      <c r="F21" s="284"/>
      <c r="G21" s="284"/>
      <c r="H21" s="285"/>
      <c r="I21" s="284"/>
      <c r="J21" s="320"/>
      <c r="K21" s="321"/>
      <c r="L21" s="319"/>
    </row>
    <row r="22" ht="15.75" spans="1:12">
      <c r="A22" s="279"/>
      <c r="B22" s="280"/>
      <c r="C22" s="284"/>
      <c r="D22" s="284"/>
      <c r="E22" s="284"/>
      <c r="F22" s="284"/>
      <c r="G22" s="284"/>
      <c r="H22" s="285"/>
      <c r="I22" s="284"/>
      <c r="J22" s="320"/>
      <c r="K22" s="321"/>
      <c r="L22" s="319"/>
    </row>
    <row r="23" ht="15.75" spans="1:12">
      <c r="A23" s="279"/>
      <c r="B23" s="280"/>
      <c r="C23" s="284"/>
      <c r="D23" s="284"/>
      <c r="E23" s="284"/>
      <c r="F23" s="284"/>
      <c r="G23" s="284"/>
      <c r="H23" s="285"/>
      <c r="I23" s="284"/>
      <c r="J23" s="320"/>
      <c r="K23" s="321"/>
      <c r="L23" s="319"/>
    </row>
    <row r="24" ht="15.75" spans="1:12">
      <c r="A24" s="279"/>
      <c r="B24" s="280"/>
      <c r="C24" s="284"/>
      <c r="D24" s="284"/>
      <c r="E24" s="284"/>
      <c r="F24" s="284"/>
      <c r="G24" s="284"/>
      <c r="H24" s="285"/>
      <c r="I24" s="284"/>
      <c r="J24" s="320"/>
      <c r="K24" s="321"/>
      <c r="L24" s="319"/>
    </row>
    <row r="25" ht="15.75" spans="1:12">
      <c r="A25" s="279"/>
      <c r="B25" s="286"/>
      <c r="C25" s="287"/>
      <c r="D25" s="284"/>
      <c r="E25" s="284"/>
      <c r="F25" s="284"/>
      <c r="G25" s="284"/>
      <c r="H25" s="285"/>
      <c r="I25" s="287"/>
      <c r="J25" s="320"/>
      <c r="K25" s="322"/>
      <c r="L25" s="319"/>
    </row>
    <row r="26" ht="19.5" spans="1:12">
      <c r="A26" s="288" t="s">
        <v>68</v>
      </c>
      <c r="B26" s="289"/>
      <c r="C26" s="289"/>
      <c r="D26" s="289"/>
      <c r="E26" s="289"/>
      <c r="F26" s="289"/>
      <c r="G26" s="289"/>
      <c r="H26" s="290"/>
      <c r="I26" s="323">
        <f>SUM(I7:I25)</f>
        <v>0</v>
      </c>
      <c r="J26" s="324">
        <f>SUM(J7:J25)</f>
        <v>145000</v>
      </c>
      <c r="K26" s="325"/>
      <c r="L26" s="326"/>
    </row>
    <row r="27" customHeight="1" spans="1:12">
      <c r="A27" s="291"/>
      <c r="B27" s="292"/>
      <c r="C27" s="291"/>
      <c r="D27" s="293"/>
      <c r="E27" s="291"/>
      <c r="F27" s="291"/>
      <c r="G27" s="291"/>
      <c r="H27" s="291"/>
      <c r="I27" s="293"/>
      <c r="J27" s="291"/>
      <c r="K27" s="291"/>
      <c r="L27" s="291"/>
    </row>
    <row r="28" ht="27.75" customHeight="1" spans="1:12">
      <c r="A28" s="294" t="s">
        <v>52</v>
      </c>
      <c r="B28" s="294"/>
      <c r="C28" s="294"/>
      <c r="D28" s="294" t="s">
        <v>53</v>
      </c>
      <c r="E28" s="294"/>
      <c r="F28" s="294"/>
      <c r="G28" s="294"/>
      <c r="H28" s="294"/>
      <c r="I28" s="294"/>
      <c r="J28" s="294"/>
      <c r="K28" s="294"/>
      <c r="L28" s="327"/>
    </row>
    <row r="29" ht="15.6" customHeight="1" spans="1:12">
      <c r="A29" s="295" t="str">
        <f>'ÖN KAPAK'!G13</f>
        <v>Hazır Beton Çimento Mak.San.ve Tic.Ltd.Şti.</v>
      </c>
      <c r="B29" s="295"/>
      <c r="C29" s="295"/>
      <c r="D29" s="295" t="s">
        <v>69</v>
      </c>
      <c r="E29" s="295"/>
      <c r="F29" s="295"/>
      <c r="G29" s="295"/>
      <c r="H29" s="296"/>
      <c r="I29" s="296"/>
      <c r="J29" s="296"/>
      <c r="K29" s="296"/>
      <c r="L29" s="328"/>
    </row>
    <row r="30" ht="15.6" customHeight="1" spans="1:12">
      <c r="A30" s="295"/>
      <c r="B30" s="295"/>
      <c r="C30" s="295"/>
      <c r="D30" s="295"/>
      <c r="E30" s="295"/>
      <c r="F30" s="295"/>
      <c r="G30" s="295"/>
      <c r="H30" s="296"/>
      <c r="I30" s="296"/>
      <c r="J30" s="296"/>
      <c r="K30" s="296"/>
      <c r="L30" s="328"/>
    </row>
    <row r="31" ht="36" customHeight="1" spans="1:12">
      <c r="A31" s="295"/>
      <c r="B31" s="295"/>
      <c r="C31" s="295"/>
      <c r="D31" s="295"/>
      <c r="E31" s="295"/>
      <c r="F31" s="295"/>
      <c r="G31" s="295"/>
      <c r="H31" s="296"/>
      <c r="I31" s="296"/>
      <c r="J31" s="296"/>
      <c r="K31" s="296"/>
      <c r="L31" s="328"/>
    </row>
    <row r="32" ht="20.25" customHeight="1" spans="1:12">
      <c r="A32" s="264"/>
      <c r="B32" s="265"/>
      <c r="C32" s="264"/>
      <c r="D32" s="294" t="s">
        <v>54</v>
      </c>
      <c r="E32" s="294"/>
      <c r="F32" s="294"/>
      <c r="G32" s="294"/>
      <c r="H32" s="294"/>
      <c r="I32" s="294"/>
      <c r="J32" s="294"/>
      <c r="K32" s="294"/>
      <c r="L32" s="264"/>
    </row>
    <row r="33" ht="24" customHeight="1" spans="1:12">
      <c r="A33" s="264"/>
      <c r="B33" s="265"/>
      <c r="C33" s="264"/>
      <c r="D33" s="297" t="s">
        <v>70</v>
      </c>
      <c r="E33" s="298"/>
      <c r="F33" s="298"/>
      <c r="G33" s="298"/>
      <c r="H33" s="298"/>
      <c r="I33" s="298"/>
      <c r="J33" s="298"/>
      <c r="K33" s="329"/>
      <c r="L33" s="264"/>
    </row>
    <row r="34" customHeight="1" spans="1:12">
      <c r="A34" s="264"/>
      <c r="B34" s="265"/>
      <c r="C34" s="264"/>
      <c r="D34" s="299"/>
      <c r="E34" s="300"/>
      <c r="F34" s="300"/>
      <c r="G34" s="300"/>
      <c r="H34" s="300"/>
      <c r="I34" s="300"/>
      <c r="J34" s="300"/>
      <c r="K34" s="330"/>
      <c r="L34" s="264"/>
    </row>
    <row r="35" customHeight="1" spans="1:12">
      <c r="A35" s="264"/>
      <c r="B35" s="265"/>
      <c r="C35" s="264"/>
      <c r="D35" s="301"/>
      <c r="E35" s="302"/>
      <c r="F35" s="302"/>
      <c r="G35" s="302"/>
      <c r="H35" s="302"/>
      <c r="I35" s="302"/>
      <c r="J35" s="302"/>
      <c r="K35" s="331"/>
      <c r="L35" s="264"/>
    </row>
    <row r="36" customHeight="1" spans="1:12">
      <c r="A36" s="264"/>
      <c r="B36" s="265"/>
      <c r="C36" s="264"/>
      <c r="D36" s="303"/>
      <c r="E36" s="304"/>
      <c r="F36" s="304"/>
      <c r="G36" s="304"/>
      <c r="H36" s="304"/>
      <c r="I36" s="304"/>
      <c r="J36" s="304"/>
      <c r="K36" s="332"/>
      <c r="L36" s="264"/>
    </row>
  </sheetData>
  <mergeCells count="33">
    <mergeCell ref="A2:K2"/>
    <mergeCell ref="J3:K3"/>
    <mergeCell ref="J4:K4"/>
    <mergeCell ref="J7:K7"/>
    <mergeCell ref="J8:K8"/>
    <mergeCell ref="J9:K9"/>
    <mergeCell ref="J10:K10"/>
    <mergeCell ref="J11:K11"/>
    <mergeCell ref="J12:K12"/>
    <mergeCell ref="J13:K13"/>
    <mergeCell ref="J14:K14"/>
    <mergeCell ref="J15:K15"/>
    <mergeCell ref="A26:H26"/>
    <mergeCell ref="J26:K26"/>
    <mergeCell ref="A28:C28"/>
    <mergeCell ref="D28:K28"/>
    <mergeCell ref="D32:K32"/>
    <mergeCell ref="D33:K33"/>
    <mergeCell ref="A5:A6"/>
    <mergeCell ref="B5:B6"/>
    <mergeCell ref="C5:C6"/>
    <mergeCell ref="D5:D6"/>
    <mergeCell ref="E5:E6"/>
    <mergeCell ref="F5:F6"/>
    <mergeCell ref="G5:G6"/>
    <mergeCell ref="H5:H6"/>
    <mergeCell ref="I5:I6"/>
    <mergeCell ref="A3:I4"/>
    <mergeCell ref="D34:K36"/>
    <mergeCell ref="J5:K6"/>
    <mergeCell ref="A29:C31"/>
    <mergeCell ref="D29:G31"/>
    <mergeCell ref="H29:K31"/>
  </mergeCells>
  <pageMargins left="0.708661417322835" right="0.708661417322835" top="0.748031496062992" bottom="0.748031496062992" header="0.31496062992126" footer="0.31496062992126"/>
  <pageSetup paperSize="9" scale="72"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3"/>
  <sheetViews>
    <sheetView view="pageBreakPreview" zoomScaleNormal="100" workbookViewId="0">
      <selection activeCell="B3" sqref="B3:F3"/>
    </sheetView>
  </sheetViews>
  <sheetFormatPr defaultColWidth="9" defaultRowHeight="15"/>
  <cols>
    <col min="1" max="1" width="1.57142857142857" style="2" customWidth="1"/>
    <col min="2" max="2" width="14.1428571428571" style="2" customWidth="1"/>
    <col min="3" max="3" width="49.1428571428571" style="2" customWidth="1"/>
    <col min="4" max="4" width="18.5714285714286" style="2" customWidth="1"/>
    <col min="5" max="5" width="14.2857142857143" style="182" customWidth="1"/>
    <col min="6" max="6" width="16.1428571428571" style="2" customWidth="1"/>
    <col min="7" max="7" width="16.7142857142857" style="183" customWidth="1"/>
    <col min="8" max="8" width="16.2857142857143" style="2" customWidth="1"/>
    <col min="9" max="9" width="12.8571428571429" style="183" customWidth="1"/>
    <col min="10" max="10" width="26.4285714285714" style="2" customWidth="1"/>
    <col min="11" max="11" width="4.28571428571429" style="2" customWidth="1"/>
    <col min="12" max="16384" width="9.14285714285714" style="2"/>
  </cols>
  <sheetData>
    <row r="1" ht="15.75"/>
    <row r="2" ht="15.75" spans="2:10">
      <c r="B2" s="184"/>
      <c r="C2" s="185"/>
      <c r="D2" s="185"/>
      <c r="E2" s="185"/>
      <c r="F2" s="185"/>
      <c r="G2" s="185"/>
      <c r="H2" s="185"/>
      <c r="I2" s="185"/>
      <c r="J2" s="245" t="s">
        <v>71</v>
      </c>
    </row>
    <row r="3" ht="37.15" customHeight="1" spans="2:10">
      <c r="B3" s="186" t="str">
        <f>'ÖN KAPAK'!G10</f>
        <v>10 adet işyerinin Tesviye Beton Atımı 2</v>
      </c>
      <c r="C3" s="187"/>
      <c r="D3" s="187"/>
      <c r="E3" s="187"/>
      <c r="F3" s="188"/>
      <c r="G3" s="189" t="s">
        <v>72</v>
      </c>
      <c r="H3" s="190"/>
      <c r="I3" s="190"/>
      <c r="J3" s="246"/>
    </row>
    <row r="4" ht="15.75" spans="2:10">
      <c r="B4" s="191"/>
      <c r="C4" s="192"/>
      <c r="D4" s="193"/>
      <c r="E4" s="194"/>
      <c r="F4" s="194"/>
      <c r="G4" s="195"/>
      <c r="H4" s="196"/>
      <c r="I4" s="247"/>
      <c r="J4" s="248"/>
    </row>
    <row r="5" ht="18.75" spans="2:10">
      <c r="B5" s="191"/>
      <c r="C5" s="197"/>
      <c r="D5" s="198"/>
      <c r="E5" s="199"/>
      <c r="F5" s="200"/>
      <c r="G5" s="201"/>
      <c r="H5" s="202"/>
      <c r="I5" s="249"/>
      <c r="J5" s="250"/>
    </row>
    <row r="6" spans="2:10">
      <c r="B6" s="203"/>
      <c r="C6" s="158"/>
      <c r="D6" s="204" t="s">
        <v>43</v>
      </c>
      <c r="E6" s="205" t="s">
        <v>48</v>
      </c>
      <c r="F6" s="204" t="s">
        <v>73</v>
      </c>
      <c r="G6" s="205" t="s">
        <v>74</v>
      </c>
      <c r="H6" s="206" t="s">
        <v>75</v>
      </c>
      <c r="I6" s="205" t="s">
        <v>76</v>
      </c>
      <c r="J6" s="251" t="s">
        <v>77</v>
      </c>
    </row>
    <row r="7" ht="45" spans="2:10">
      <c r="B7" s="207" t="s">
        <v>78</v>
      </c>
      <c r="C7" s="208" t="s">
        <v>79</v>
      </c>
      <c r="D7" s="209" t="s">
        <v>11</v>
      </c>
      <c r="E7" s="427" t="s">
        <v>80</v>
      </c>
      <c r="F7" s="209" t="s">
        <v>81</v>
      </c>
      <c r="G7" s="210" t="s">
        <v>82</v>
      </c>
      <c r="H7" s="211" t="s">
        <v>83</v>
      </c>
      <c r="I7" s="252" t="s">
        <v>84</v>
      </c>
      <c r="J7" s="253" t="s">
        <v>85</v>
      </c>
    </row>
    <row r="8" ht="18.75" spans="2:10">
      <c r="B8" s="212" t="s">
        <v>86</v>
      </c>
      <c r="C8" s="213"/>
      <c r="D8" s="214"/>
      <c r="E8" s="214"/>
      <c r="F8" s="214"/>
      <c r="G8" s="214"/>
      <c r="H8" s="214"/>
      <c r="I8" s="254"/>
      <c r="J8" s="255"/>
    </row>
    <row r="9" ht="24" customHeight="1" spans="2:10">
      <c r="B9" s="215" t="s">
        <v>87</v>
      </c>
      <c r="C9" s="216"/>
      <c r="D9" s="217"/>
      <c r="E9" s="218"/>
      <c r="F9" s="219"/>
      <c r="G9" s="218"/>
      <c r="H9" s="219"/>
      <c r="I9" s="218"/>
      <c r="J9" s="256"/>
    </row>
    <row r="10" ht="30.6" customHeight="1" spans="2:10">
      <c r="B10" s="220">
        <v>1</v>
      </c>
      <c r="C10" s="221" t="s">
        <v>88</v>
      </c>
      <c r="D10" s="222">
        <f>'ÖN KAPAK'!G14</f>
        <v>145000</v>
      </c>
      <c r="E10" s="223">
        <v>100</v>
      </c>
      <c r="F10" s="224">
        <f>(D10*E10)/100</f>
        <v>145000</v>
      </c>
      <c r="G10" s="223">
        <v>0</v>
      </c>
      <c r="H10" s="225">
        <f>(D10*G10)/100</f>
        <v>0</v>
      </c>
      <c r="I10" s="257">
        <f t="shared" ref="I10" si="0">E10-G10</f>
        <v>100</v>
      </c>
      <c r="J10" s="258">
        <f>(D10*I10)/100</f>
        <v>145000</v>
      </c>
    </row>
    <row r="11" ht="28.5" customHeight="1" spans="2:10">
      <c r="B11" s="226"/>
      <c r="C11" s="227" t="s">
        <v>89</v>
      </c>
      <c r="D11" s="228">
        <f>SUM(D10:D10)</f>
        <v>145000</v>
      </c>
      <c r="E11" s="229"/>
      <c r="F11" s="230">
        <f>SUM(F10:F10)</f>
        <v>145000</v>
      </c>
      <c r="G11" s="231"/>
      <c r="H11" s="232">
        <f>SUM(H10:H10)</f>
        <v>0</v>
      </c>
      <c r="I11" s="259"/>
      <c r="J11" s="260">
        <f>SUM(J10:J10)</f>
        <v>145000</v>
      </c>
    </row>
    <row r="12" customHeight="1" spans="2:10">
      <c r="B12" s="233"/>
      <c r="C12" s="234" t="s">
        <v>53</v>
      </c>
      <c r="D12" s="234"/>
      <c r="E12" s="234"/>
      <c r="F12" s="234"/>
      <c r="G12" s="234"/>
      <c r="H12" s="235"/>
      <c r="I12" s="261" t="s">
        <v>52</v>
      </c>
      <c r="J12" s="261"/>
    </row>
    <row r="13" ht="9.75" customHeight="1" spans="2:10">
      <c r="B13" s="233"/>
      <c r="C13" s="234"/>
      <c r="D13" s="234"/>
      <c r="E13" s="234"/>
      <c r="F13" s="234"/>
      <c r="G13" s="234"/>
      <c r="H13" s="235"/>
      <c r="I13" s="261"/>
      <c r="J13" s="261"/>
    </row>
    <row r="14" ht="4.5" customHeight="1" spans="2:10">
      <c r="B14" s="233"/>
      <c r="C14" s="234"/>
      <c r="D14" s="234"/>
      <c r="E14" s="234"/>
      <c r="F14" s="234"/>
      <c r="G14" s="234"/>
      <c r="H14" s="235"/>
      <c r="I14" s="261"/>
      <c r="J14" s="261"/>
    </row>
    <row r="15" customHeight="1" spans="3:10">
      <c r="C15" s="236" t="s">
        <v>90</v>
      </c>
      <c r="D15" s="237" t="s">
        <v>91</v>
      </c>
      <c r="E15" s="237"/>
      <c r="F15" s="238"/>
      <c r="G15" s="238"/>
      <c r="H15" s="239"/>
      <c r="I15" s="262" t="str">
        <f>'ÖN KAPAK'!G13</f>
        <v>Hazır Beton Çimento Mak.San.ve Tic.Ltd.Şti.</v>
      </c>
      <c r="J15" s="262"/>
    </row>
    <row r="16" customHeight="1" spans="3:10">
      <c r="C16" s="236"/>
      <c r="D16" s="237"/>
      <c r="E16" s="237"/>
      <c r="F16" s="238"/>
      <c r="G16" s="238"/>
      <c r="H16" s="239"/>
      <c r="I16" s="262"/>
      <c r="J16" s="262"/>
    </row>
    <row r="17" customHeight="1" spans="2:10">
      <c r="B17" s="68"/>
      <c r="C17" s="236"/>
      <c r="D17" s="237"/>
      <c r="E17" s="237"/>
      <c r="F17" s="238"/>
      <c r="G17" s="238"/>
      <c r="H17" s="239"/>
      <c r="I17" s="262"/>
      <c r="J17" s="262"/>
    </row>
    <row r="18" ht="6" customHeight="1" spans="3:10">
      <c r="C18" s="236"/>
      <c r="D18" s="237"/>
      <c r="E18" s="237"/>
      <c r="F18" s="238"/>
      <c r="G18" s="238"/>
      <c r="H18" s="239"/>
      <c r="I18" s="262"/>
      <c r="J18" s="262"/>
    </row>
    <row r="19" ht="15.75" spans="2:10">
      <c r="B19" s="240"/>
      <c r="C19" s="236"/>
      <c r="D19" s="237"/>
      <c r="E19" s="237"/>
      <c r="F19" s="238"/>
      <c r="G19" s="238"/>
      <c r="H19" s="239"/>
      <c r="I19" s="262"/>
      <c r="J19" s="262"/>
    </row>
    <row r="20" ht="3" customHeight="1" spans="3:10">
      <c r="C20" s="236"/>
      <c r="D20" s="237"/>
      <c r="E20" s="237"/>
      <c r="F20" s="238"/>
      <c r="G20" s="238"/>
      <c r="H20" s="239"/>
      <c r="I20" s="262"/>
      <c r="J20" s="262"/>
    </row>
    <row r="21" ht="15.75" spans="3:10">
      <c r="C21" s="241"/>
      <c r="D21" s="242"/>
      <c r="E21" s="243"/>
      <c r="F21" s="242"/>
      <c r="G21" s="243"/>
      <c r="H21" s="239"/>
      <c r="I21" s="263"/>
      <c r="J21" s="242"/>
    </row>
    <row r="22" ht="15.75" spans="3:10">
      <c r="C22" s="241"/>
      <c r="D22" s="242"/>
      <c r="E22" s="244"/>
      <c r="F22" s="242"/>
      <c r="G22" s="243"/>
      <c r="H22" s="239"/>
      <c r="I22" s="263"/>
      <c r="J22" s="242"/>
    </row>
    <row r="23" ht="15.75" spans="3:10">
      <c r="C23" s="241"/>
      <c r="D23" s="242"/>
      <c r="E23" s="244"/>
      <c r="F23" s="242"/>
      <c r="G23" s="243"/>
      <c r="H23" s="239"/>
      <c r="I23" s="263"/>
      <c r="J23" s="242"/>
    </row>
  </sheetData>
  <mergeCells count="15">
    <mergeCell ref="B2:I2"/>
    <mergeCell ref="B3:F3"/>
    <mergeCell ref="G3:J3"/>
    <mergeCell ref="E4:F4"/>
    <mergeCell ref="H4:I4"/>
    <mergeCell ref="E5:F5"/>
    <mergeCell ref="H5:I5"/>
    <mergeCell ref="C8:H8"/>
    <mergeCell ref="B9:C9"/>
    <mergeCell ref="C15:C20"/>
    <mergeCell ref="I15:J20"/>
    <mergeCell ref="D15:E20"/>
    <mergeCell ref="F15:G20"/>
    <mergeCell ref="C12:G14"/>
    <mergeCell ref="I12:J14"/>
  </mergeCells>
  <pageMargins left="0.708661417322835" right="0.708661417322835" top="0.748031496062992" bottom="0.748031496062992" header="0.31496062992126" footer="0.31496062992126"/>
  <pageSetup paperSize="9" scale="6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view="pageBreakPreview" zoomScaleNormal="100" workbookViewId="0">
      <selection activeCell="D2" sqref="D2:F2"/>
    </sheetView>
  </sheetViews>
  <sheetFormatPr defaultColWidth="9" defaultRowHeight="15"/>
  <cols>
    <col min="1" max="1" width="10.7142857142857" customWidth="1"/>
    <col min="2" max="2" width="14.7142857142857" customWidth="1"/>
    <col min="4" max="4" width="19.8571428571429" customWidth="1"/>
    <col min="5" max="5" width="19.1428571428571" customWidth="1"/>
    <col min="6" max="6" width="23.7142857142857" customWidth="1"/>
    <col min="7" max="7" width="13.2857142857143" customWidth="1"/>
    <col min="8" max="8" width="13.7142857142857" customWidth="1"/>
    <col min="9" max="9" width="15.4285714285714" customWidth="1"/>
  </cols>
  <sheetData>
    <row r="1" ht="16.5" spans="1:9">
      <c r="A1" s="96" t="s">
        <v>92</v>
      </c>
      <c r="B1" s="97"/>
      <c r="C1" s="97"/>
      <c r="D1" s="97"/>
      <c r="E1" s="97"/>
      <c r="F1" s="97"/>
      <c r="G1" s="97"/>
      <c r="H1" s="97"/>
      <c r="I1" s="170"/>
    </row>
    <row r="2" ht="37.5" customHeight="1" spans="1:9">
      <c r="A2" s="98" t="s">
        <v>93</v>
      </c>
      <c r="B2" s="99"/>
      <c r="C2" s="99"/>
      <c r="D2" s="100" t="str">
        <f>'ÖN KAPAK'!G10</f>
        <v>10 adet işyerinin Tesviye Beton Atımı 2</v>
      </c>
      <c r="E2" s="100"/>
      <c r="F2" s="100"/>
      <c r="G2" s="101"/>
      <c r="H2" s="102" t="s">
        <v>94</v>
      </c>
      <c r="I2" s="171"/>
    </row>
    <row r="3" ht="15.75" spans="1:9">
      <c r="A3" s="103">
        <f>'ÖN KAPAK'!G18</f>
        <v>46181</v>
      </c>
      <c r="B3" s="104"/>
      <c r="C3" s="105" t="s">
        <v>95</v>
      </c>
      <c r="D3" s="106">
        <f>'ÖN KAPAK'!G22</f>
        <v>46182</v>
      </c>
      <c r="E3" s="107" t="s">
        <v>96</v>
      </c>
      <c r="F3" s="107"/>
      <c r="G3" s="108"/>
      <c r="H3" s="108"/>
      <c r="I3" s="172"/>
    </row>
    <row r="4" spans="1:9">
      <c r="A4" s="109" t="s">
        <v>43</v>
      </c>
      <c r="B4" s="110" t="s">
        <v>97</v>
      </c>
      <c r="C4" s="110"/>
      <c r="D4" s="110"/>
      <c r="E4" s="110"/>
      <c r="F4" s="111">
        <f>'YAPILAN İŞLER LİSTESİ'!F11</f>
        <v>145000</v>
      </c>
      <c r="G4" s="112"/>
      <c r="H4" s="112"/>
      <c r="I4" s="173" t="s">
        <v>98</v>
      </c>
    </row>
    <row r="5" spans="1:9">
      <c r="A5" s="113" t="s">
        <v>48</v>
      </c>
      <c r="B5" s="114" t="s">
        <v>99</v>
      </c>
      <c r="C5" s="114"/>
      <c r="D5" s="114"/>
      <c r="E5" s="114"/>
      <c r="F5" s="115">
        <v>0</v>
      </c>
      <c r="G5" s="116"/>
      <c r="H5" s="116"/>
      <c r="I5" s="174" t="s">
        <v>98</v>
      </c>
    </row>
    <row r="6" ht="15.75" spans="1:9">
      <c r="A6" s="117" t="s">
        <v>50</v>
      </c>
      <c r="B6" s="118" t="s">
        <v>100</v>
      </c>
      <c r="C6" s="118"/>
      <c r="D6" s="118"/>
      <c r="E6" s="118"/>
      <c r="F6" s="119">
        <f>F4+F5</f>
        <v>145000</v>
      </c>
      <c r="G6" s="120"/>
      <c r="H6" s="120"/>
      <c r="I6" s="175" t="s">
        <v>98</v>
      </c>
    </row>
    <row r="7" spans="1:9">
      <c r="A7" s="109" t="s">
        <v>74</v>
      </c>
      <c r="B7" s="110" t="s">
        <v>101</v>
      </c>
      <c r="C7" s="110"/>
      <c r="D7" s="110"/>
      <c r="E7" s="110"/>
      <c r="F7" s="111">
        <f>'YAPILAN İŞLER LİSTESİ'!H11</f>
        <v>0</v>
      </c>
      <c r="G7" s="112"/>
      <c r="H7" s="112"/>
      <c r="I7" s="173" t="s">
        <v>98</v>
      </c>
    </row>
    <row r="8" spans="1:9">
      <c r="A8" s="113" t="s">
        <v>102</v>
      </c>
      <c r="B8" s="121" t="s">
        <v>103</v>
      </c>
      <c r="C8" s="121"/>
      <c r="D8" s="121"/>
      <c r="E8" s="121"/>
      <c r="F8" s="115">
        <f>F6-F7</f>
        <v>145000</v>
      </c>
      <c r="G8" s="116"/>
      <c r="H8" s="116"/>
      <c r="I8" s="174" t="s">
        <v>98</v>
      </c>
    </row>
    <row r="9" spans="1:9">
      <c r="A9" s="113" t="s">
        <v>104</v>
      </c>
      <c r="B9" s="114" t="s">
        <v>105</v>
      </c>
      <c r="C9" s="114"/>
      <c r="D9" s="114"/>
      <c r="E9" s="114"/>
      <c r="F9" s="115">
        <f>ROUND(F8*20%,2)</f>
        <v>29000</v>
      </c>
      <c r="G9" s="116"/>
      <c r="H9" s="116"/>
      <c r="I9" s="174" t="s">
        <v>98</v>
      </c>
    </row>
    <row r="10" ht="16.5" spans="1:9">
      <c r="A10" s="122" t="s">
        <v>106</v>
      </c>
      <c r="B10" s="123" t="s">
        <v>107</v>
      </c>
      <c r="C10" s="123"/>
      <c r="D10" s="123"/>
      <c r="E10" s="123"/>
      <c r="F10" s="124">
        <f>F9+F8</f>
        <v>174000</v>
      </c>
      <c r="G10" s="125"/>
      <c r="H10" s="125"/>
      <c r="I10" s="176" t="s">
        <v>98</v>
      </c>
    </row>
    <row r="11" spans="1:9">
      <c r="A11" s="126"/>
      <c r="B11" s="127" t="s">
        <v>108</v>
      </c>
      <c r="C11" s="128" t="s">
        <v>109</v>
      </c>
      <c r="D11" s="129"/>
      <c r="E11" s="110"/>
      <c r="F11" s="111">
        <v>0</v>
      </c>
      <c r="G11" s="112"/>
      <c r="H11" s="112"/>
      <c r="I11" s="173" t="s">
        <v>98</v>
      </c>
    </row>
    <row r="12" spans="1:9">
      <c r="A12" s="126"/>
      <c r="B12" s="130"/>
      <c r="C12" s="131" t="s">
        <v>110</v>
      </c>
      <c r="D12" s="132"/>
      <c r="E12" s="121"/>
      <c r="F12" s="115">
        <f>ROUND(F8*0.00948,2)</f>
        <v>1374.6</v>
      </c>
      <c r="G12" s="116"/>
      <c r="H12" s="116"/>
      <c r="I12" s="174" t="s">
        <v>98</v>
      </c>
    </row>
    <row r="13" spans="1:9">
      <c r="A13" s="126"/>
      <c r="B13" s="130"/>
      <c r="C13" s="131" t="s">
        <v>111</v>
      </c>
      <c r="D13" s="132"/>
      <c r="E13" s="121"/>
      <c r="F13" s="133">
        <v>0</v>
      </c>
      <c r="G13" s="134"/>
      <c r="H13" s="134"/>
      <c r="I13" s="174" t="s">
        <v>98</v>
      </c>
    </row>
    <row r="14" spans="1:9">
      <c r="A14" s="126"/>
      <c r="B14" s="130"/>
      <c r="C14" s="131" t="s">
        <v>112</v>
      </c>
      <c r="D14" s="132"/>
      <c r="E14" s="121"/>
      <c r="F14" s="115">
        <v>0</v>
      </c>
      <c r="G14" s="116"/>
      <c r="H14" s="116"/>
      <c r="I14" s="174" t="s">
        <v>98</v>
      </c>
    </row>
    <row r="15" spans="1:9">
      <c r="A15" s="126"/>
      <c r="B15" s="130"/>
      <c r="C15" s="131" t="s">
        <v>113</v>
      </c>
      <c r="D15" s="132"/>
      <c r="E15" s="121"/>
      <c r="F15" s="115">
        <v>0</v>
      </c>
      <c r="G15" s="116"/>
      <c r="H15" s="116"/>
      <c r="I15" s="174" t="s">
        <v>98</v>
      </c>
    </row>
    <row r="16" spans="1:9">
      <c r="A16" s="126"/>
      <c r="B16" s="130"/>
      <c r="C16" s="135" t="s">
        <v>114</v>
      </c>
      <c r="D16" s="136"/>
      <c r="E16" s="137"/>
      <c r="F16" s="115">
        <v>0</v>
      </c>
      <c r="G16" s="116"/>
      <c r="H16" s="116"/>
      <c r="I16" s="174" t="s">
        <v>98</v>
      </c>
    </row>
    <row r="17" spans="1:9">
      <c r="A17" s="126"/>
      <c r="B17" s="130"/>
      <c r="C17" s="131" t="s">
        <v>115</v>
      </c>
      <c r="D17" s="132"/>
      <c r="E17" s="121"/>
      <c r="F17" s="138">
        <v>0</v>
      </c>
      <c r="G17" s="139"/>
      <c r="H17" s="139"/>
      <c r="I17" s="174" t="s">
        <v>98</v>
      </c>
    </row>
    <row r="18" spans="1:9">
      <c r="A18" s="126"/>
      <c r="B18" s="130"/>
      <c r="C18" s="140" t="s">
        <v>116</v>
      </c>
      <c r="D18" s="132"/>
      <c r="E18" s="121"/>
      <c r="F18" s="138">
        <v>0</v>
      </c>
      <c r="G18" s="139"/>
      <c r="H18" s="139"/>
      <c r="I18" s="174" t="s">
        <v>98</v>
      </c>
    </row>
    <row r="19" ht="15.75" spans="1:9">
      <c r="A19" s="126"/>
      <c r="B19" s="141"/>
      <c r="C19" s="142" t="s">
        <v>117</v>
      </c>
      <c r="D19" s="143"/>
      <c r="E19" s="144"/>
      <c r="F19" s="138">
        <v>0</v>
      </c>
      <c r="G19" s="139"/>
      <c r="H19" s="139"/>
      <c r="I19" s="174" t="s">
        <v>98</v>
      </c>
    </row>
    <row r="20" spans="1:9">
      <c r="A20" s="145" t="s">
        <v>118</v>
      </c>
      <c r="B20" s="146" t="s">
        <v>119</v>
      </c>
      <c r="C20" s="147"/>
      <c r="D20" s="147"/>
      <c r="E20" s="148"/>
      <c r="F20" s="149">
        <f>F11+F12+F13+F14+F15+F16+F17+F18+F19</f>
        <v>1374.6</v>
      </c>
      <c r="G20" s="150"/>
      <c r="H20" s="150"/>
      <c r="I20" s="177" t="s">
        <v>98</v>
      </c>
    </row>
    <row r="21" ht="16.5" spans="1:9">
      <c r="A21" s="151" t="s">
        <v>120</v>
      </c>
      <c r="B21" s="152" t="s">
        <v>121</v>
      </c>
      <c r="C21" s="152"/>
      <c r="D21" s="152"/>
      <c r="E21" s="152"/>
      <c r="F21" s="153">
        <f>F10-F20</f>
        <v>172625.4</v>
      </c>
      <c r="G21" s="154"/>
      <c r="H21" s="154"/>
      <c r="I21" s="178" t="s">
        <v>98</v>
      </c>
    </row>
    <row r="22" ht="15.75" spans="1:9">
      <c r="A22" s="155" t="s">
        <v>122</v>
      </c>
      <c r="B22" s="156"/>
      <c r="C22" s="157"/>
      <c r="D22" s="157"/>
      <c r="E22" s="157"/>
      <c r="F22" s="157"/>
      <c r="G22" s="157"/>
      <c r="H22" s="157"/>
      <c r="I22" s="179"/>
    </row>
    <row r="23" spans="1:9">
      <c r="A23" s="158" t="s">
        <v>123</v>
      </c>
      <c r="B23" s="158"/>
      <c r="C23" s="158"/>
      <c r="D23" s="158" t="s">
        <v>124</v>
      </c>
      <c r="E23" s="158"/>
      <c r="F23" s="158"/>
      <c r="G23" s="158"/>
      <c r="H23" s="158"/>
      <c r="I23" s="158"/>
    </row>
    <row r="24" ht="18.75" customHeight="1" spans="1:9">
      <c r="A24" s="159" t="str">
        <f>'ÖN KAPAK'!G13</f>
        <v>Hazır Beton Çimento Mak.San.ve Tic.Ltd.Şti.</v>
      </c>
      <c r="B24" s="159"/>
      <c r="C24" s="159"/>
      <c r="D24" s="158" t="s">
        <v>125</v>
      </c>
      <c r="E24" s="158" t="s">
        <v>125</v>
      </c>
      <c r="F24" s="158" t="s">
        <v>54</v>
      </c>
      <c r="G24" s="158"/>
      <c r="H24" s="158"/>
      <c r="I24" s="158"/>
    </row>
    <row r="25" ht="56.45" customHeight="1" spans="1:9">
      <c r="A25" s="160"/>
      <c r="B25" s="160"/>
      <c r="C25" s="159"/>
      <c r="D25" s="161" t="s">
        <v>126</v>
      </c>
      <c r="E25" s="161"/>
      <c r="F25" s="161" t="s">
        <v>127</v>
      </c>
      <c r="G25" s="161"/>
      <c r="H25" s="161"/>
      <c r="I25" s="161"/>
    </row>
    <row r="26" ht="16.5" customHeight="1" spans="1:9">
      <c r="A26" s="159"/>
      <c r="B26" s="159"/>
      <c r="C26" s="159"/>
      <c r="D26" s="161"/>
      <c r="E26" s="161"/>
      <c r="F26" s="161"/>
      <c r="G26" s="161"/>
      <c r="H26" s="161"/>
      <c r="I26" s="161"/>
    </row>
    <row r="27" ht="15.75" customHeight="1" spans="1:9">
      <c r="A27" s="159"/>
      <c r="B27" s="159"/>
      <c r="C27" s="159"/>
      <c r="D27" s="161"/>
      <c r="E27" s="161"/>
      <c r="F27" s="161"/>
      <c r="G27" s="161"/>
      <c r="H27" s="161"/>
      <c r="I27" s="161"/>
    </row>
    <row r="28" ht="12" customHeight="1" spans="1:9">
      <c r="A28" s="159"/>
      <c r="B28" s="159"/>
      <c r="C28" s="159"/>
      <c r="D28" s="161"/>
      <c r="E28" s="161"/>
      <c r="F28" s="161"/>
      <c r="G28" s="161"/>
      <c r="H28" s="161"/>
      <c r="I28" s="161"/>
    </row>
    <row r="29" spans="1:9">
      <c r="A29" s="162"/>
      <c r="B29" s="163"/>
      <c r="C29" s="163"/>
      <c r="D29" s="163"/>
      <c r="E29" s="163"/>
      <c r="F29" s="163"/>
      <c r="I29" s="180"/>
    </row>
    <row r="30" ht="15.75" spans="1:9">
      <c r="A30" s="164"/>
      <c r="B30" s="165"/>
      <c r="C30" s="165"/>
      <c r="D30" s="166"/>
      <c r="E30" s="167"/>
      <c r="F30" s="168"/>
      <c r="G30" s="169"/>
      <c r="H30" s="169"/>
      <c r="I30" s="181"/>
    </row>
  </sheetData>
  <mergeCells count="38">
    <mergeCell ref="A1:I1"/>
    <mergeCell ref="A2:C2"/>
    <mergeCell ref="D2:F2"/>
    <mergeCell ref="H2:I2"/>
    <mergeCell ref="A3:B3"/>
    <mergeCell ref="F4:H4"/>
    <mergeCell ref="F5:H5"/>
    <mergeCell ref="F6:H6"/>
    <mergeCell ref="F7:H7"/>
    <mergeCell ref="F8:H8"/>
    <mergeCell ref="F9:H9"/>
    <mergeCell ref="F10:H10"/>
    <mergeCell ref="F11:H11"/>
    <mergeCell ref="F12:H12"/>
    <mergeCell ref="F13:H13"/>
    <mergeCell ref="F14:H14"/>
    <mergeCell ref="F15:H15"/>
    <mergeCell ref="C16:E16"/>
    <mergeCell ref="F16:H16"/>
    <mergeCell ref="F17:H17"/>
    <mergeCell ref="F18:H18"/>
    <mergeCell ref="C19:E19"/>
    <mergeCell ref="F19:H19"/>
    <mergeCell ref="F20:H20"/>
    <mergeCell ref="F21:H21"/>
    <mergeCell ref="A22:B22"/>
    <mergeCell ref="C22:H22"/>
    <mergeCell ref="A23:C23"/>
    <mergeCell ref="D23:I23"/>
    <mergeCell ref="F24:I24"/>
    <mergeCell ref="A29:F29"/>
    <mergeCell ref="D30:E30"/>
    <mergeCell ref="G30:I30"/>
    <mergeCell ref="B11:B19"/>
    <mergeCell ref="D25:D28"/>
    <mergeCell ref="E25:E28"/>
    <mergeCell ref="A24:C28"/>
    <mergeCell ref="F25:I28"/>
  </mergeCells>
  <pageMargins left="0.7" right="0.7" top="0.75" bottom="0.75" header="0.3" footer="0.3"/>
  <pageSetup paperSize="9" scale="88"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view="pageBreakPreview" zoomScaleNormal="85" topLeftCell="A16" workbookViewId="0">
      <selection activeCell="G45" sqref="G45"/>
    </sheetView>
  </sheetViews>
  <sheetFormatPr defaultColWidth="9" defaultRowHeight="15" outlineLevelCol="7"/>
  <cols>
    <col min="1" max="1" width="9.14285714285714" style="2"/>
    <col min="2" max="2" width="11.7142857142857" style="2" customWidth="1"/>
    <col min="3" max="3" width="15.7142857142857" style="2" customWidth="1"/>
    <col min="4" max="4" width="12.4285714285714" style="2" customWidth="1"/>
    <col min="5" max="5" width="14.1428571428571" style="2" customWidth="1"/>
    <col min="6" max="6" width="15.2857142857143" style="2" customWidth="1"/>
    <col min="7" max="7" width="14.7142857142857" style="2" customWidth="1"/>
    <col min="8" max="8" width="15.4285714285714" style="2" customWidth="1"/>
    <col min="9" max="16384" width="9.14285714285714" style="2"/>
  </cols>
  <sheetData>
    <row r="1" ht="18.75" spans="1:8">
      <c r="A1" s="50" t="s">
        <v>128</v>
      </c>
      <c r="B1" s="51"/>
      <c r="C1" s="51"/>
      <c r="D1" s="51"/>
      <c r="E1" s="51"/>
      <c r="F1" s="51"/>
      <c r="G1" s="51"/>
      <c r="H1" s="52"/>
    </row>
    <row r="2" ht="18.75" spans="1:8">
      <c r="A2" s="5" t="s">
        <v>129</v>
      </c>
      <c r="B2" s="6"/>
      <c r="C2" s="6"/>
      <c r="D2" s="6"/>
      <c r="E2" s="6"/>
      <c r="F2" s="6"/>
      <c r="G2" s="6"/>
      <c r="H2" s="33"/>
    </row>
    <row r="3" ht="49.5" customHeight="1" spans="1:8">
      <c r="A3" s="53" t="s">
        <v>130</v>
      </c>
      <c r="B3" s="54"/>
      <c r="C3" s="54"/>
      <c r="D3" s="55" t="s">
        <v>131</v>
      </c>
      <c r="E3" s="56"/>
      <c r="F3" s="56"/>
      <c r="G3" s="56"/>
      <c r="H3" s="57"/>
    </row>
    <row r="4" spans="1:8">
      <c r="A4" s="53" t="s">
        <v>132</v>
      </c>
      <c r="B4" s="54"/>
      <c r="C4" s="54"/>
      <c r="D4" s="58" t="s">
        <v>133</v>
      </c>
      <c r="E4" s="58"/>
      <c r="F4" s="58"/>
      <c r="G4" s="58"/>
      <c r="H4" s="59"/>
    </row>
    <row r="5" ht="33.75" customHeight="1" spans="1:8">
      <c r="A5" s="53" t="s">
        <v>134</v>
      </c>
      <c r="B5" s="54"/>
      <c r="C5" s="54"/>
      <c r="D5" s="60" t="s">
        <v>135</v>
      </c>
      <c r="E5" s="61"/>
      <c r="F5" s="61"/>
      <c r="G5" s="61"/>
      <c r="H5" s="62"/>
    </row>
    <row r="6" spans="1:8">
      <c r="A6" s="53" t="s">
        <v>136</v>
      </c>
      <c r="B6" s="54"/>
      <c r="C6" s="54"/>
      <c r="D6" s="63">
        <v>3050000</v>
      </c>
      <c r="E6" s="64"/>
      <c r="F6" s="64"/>
      <c r="G6" s="64"/>
      <c r="H6" s="65"/>
    </row>
    <row r="7" spans="1:8">
      <c r="A7" s="53" t="s">
        <v>137</v>
      </c>
      <c r="B7" s="54"/>
      <c r="C7" s="54"/>
      <c r="D7" s="58" t="s">
        <v>138</v>
      </c>
      <c r="E7" s="58"/>
      <c r="F7" s="58"/>
      <c r="G7" s="58"/>
      <c r="H7" s="59"/>
    </row>
    <row r="8" spans="1:8">
      <c r="A8" s="53" t="s">
        <v>139</v>
      </c>
      <c r="B8" s="54"/>
      <c r="C8" s="54"/>
      <c r="D8" s="58">
        <v>261020276</v>
      </c>
      <c r="E8" s="58"/>
      <c r="F8" s="58"/>
      <c r="G8" s="58"/>
      <c r="H8" s="59"/>
    </row>
    <row r="9" spans="1:8">
      <c r="A9" s="53" t="s">
        <v>140</v>
      </c>
      <c r="B9" s="54"/>
      <c r="C9" s="54"/>
      <c r="D9" s="66">
        <v>45287</v>
      </c>
      <c r="E9" s="58"/>
      <c r="F9" s="58"/>
      <c r="G9" s="58"/>
      <c r="H9" s="59"/>
    </row>
    <row r="10" spans="1:8">
      <c r="A10" s="53" t="s">
        <v>141</v>
      </c>
      <c r="B10" s="54"/>
      <c r="C10" s="54"/>
      <c r="D10" s="66">
        <v>45467</v>
      </c>
      <c r="E10" s="58"/>
      <c r="F10" s="58"/>
      <c r="G10" s="58"/>
      <c r="H10" s="59"/>
    </row>
    <row r="11" spans="1:8">
      <c r="A11" s="53" t="s">
        <v>142</v>
      </c>
      <c r="B11" s="54"/>
      <c r="C11" s="54"/>
      <c r="D11" s="66">
        <v>45287</v>
      </c>
      <c r="E11" s="58"/>
      <c r="F11" s="58"/>
      <c r="G11" s="58"/>
      <c r="H11" s="59"/>
    </row>
    <row r="12" spans="1:8">
      <c r="A12" s="53" t="s">
        <v>143</v>
      </c>
      <c r="B12" s="54"/>
      <c r="C12" s="54"/>
      <c r="D12" s="58" t="s">
        <v>144</v>
      </c>
      <c r="E12" s="58"/>
      <c r="F12" s="58"/>
      <c r="G12" s="58"/>
      <c r="H12" s="59"/>
    </row>
    <row r="13" spans="1:8">
      <c r="A13" s="53" t="s">
        <v>145</v>
      </c>
      <c r="B13" s="54"/>
      <c r="C13" s="54"/>
      <c r="D13" s="66">
        <v>45467</v>
      </c>
      <c r="E13" s="58"/>
      <c r="F13" s="58"/>
      <c r="G13" s="58"/>
      <c r="H13" s="59"/>
    </row>
    <row r="14" spans="1:8">
      <c r="A14" s="19"/>
      <c r="H14" s="39"/>
    </row>
    <row r="15" spans="1:8">
      <c r="A15" s="67" t="s">
        <v>146</v>
      </c>
      <c r="B15" s="68"/>
      <c r="C15" s="68"/>
      <c r="D15" s="68"/>
      <c r="E15" s="68"/>
      <c r="F15" s="68"/>
      <c r="G15" s="68"/>
      <c r="H15" s="69"/>
    </row>
    <row r="16" spans="1:8">
      <c r="A16" s="19"/>
      <c r="H16" s="39"/>
    </row>
    <row r="17" ht="42.6" customHeight="1" spans="1:8">
      <c r="A17" s="70" t="s">
        <v>147</v>
      </c>
      <c r="B17" s="71" t="s">
        <v>59</v>
      </c>
      <c r="C17" s="71" t="s">
        <v>148</v>
      </c>
      <c r="D17" s="71" t="s">
        <v>149</v>
      </c>
      <c r="E17" s="71" t="s">
        <v>150</v>
      </c>
      <c r="F17" s="71" t="s">
        <v>151</v>
      </c>
      <c r="G17" s="71" t="s">
        <v>152</v>
      </c>
      <c r="H17" s="72" t="s">
        <v>153</v>
      </c>
    </row>
    <row r="18" spans="1:8">
      <c r="A18" s="73"/>
      <c r="B18" s="74"/>
      <c r="C18" s="75" t="s">
        <v>154</v>
      </c>
      <c r="D18" s="75" t="s">
        <v>155</v>
      </c>
      <c r="E18" s="75" t="s">
        <v>156</v>
      </c>
      <c r="F18" s="75" t="s">
        <v>157</v>
      </c>
      <c r="G18" s="75" t="s">
        <v>158</v>
      </c>
      <c r="H18" s="76" t="s">
        <v>159</v>
      </c>
    </row>
    <row r="19" spans="1:8">
      <c r="A19" s="16">
        <v>1</v>
      </c>
      <c r="B19" s="17">
        <v>45289</v>
      </c>
      <c r="C19" s="77">
        <f>'YAPILAN İŞLER LİSTESİ'!F11</f>
        <v>145000</v>
      </c>
      <c r="D19" s="77">
        <v>0</v>
      </c>
      <c r="E19" s="77">
        <v>0</v>
      </c>
      <c r="F19" s="77">
        <f>C19+D19+E19</f>
        <v>145000</v>
      </c>
      <c r="G19" s="77">
        <v>3050000</v>
      </c>
      <c r="H19" s="78">
        <f>G19-F19</f>
        <v>2905000</v>
      </c>
    </row>
    <row r="20" spans="1:8">
      <c r="A20" s="16"/>
      <c r="B20" s="17"/>
      <c r="C20" s="77"/>
      <c r="D20" s="77"/>
      <c r="E20" s="77"/>
      <c r="F20" s="77"/>
      <c r="G20" s="77"/>
      <c r="H20" s="78"/>
    </row>
    <row r="21" spans="1:8">
      <c r="A21" s="16"/>
      <c r="B21" s="17"/>
      <c r="C21" s="77"/>
      <c r="D21" s="77"/>
      <c r="E21" s="77"/>
      <c r="F21" s="77"/>
      <c r="G21" s="77"/>
      <c r="H21" s="78"/>
    </row>
    <row r="22" spans="1:8">
      <c r="A22" s="16"/>
      <c r="B22" s="17"/>
      <c r="C22" s="77"/>
      <c r="D22" s="77"/>
      <c r="E22" s="77"/>
      <c r="F22" s="77"/>
      <c r="G22" s="77"/>
      <c r="H22" s="78"/>
    </row>
    <row r="23" spans="1:8">
      <c r="A23" s="18"/>
      <c r="B23" s="17"/>
      <c r="C23" s="77"/>
      <c r="D23" s="77"/>
      <c r="E23" s="77"/>
      <c r="F23" s="77"/>
      <c r="G23" s="77"/>
      <c r="H23" s="78"/>
    </row>
    <row r="24" spans="1:8">
      <c r="A24" s="16"/>
      <c r="B24" s="17"/>
      <c r="C24" s="77"/>
      <c r="D24" s="77"/>
      <c r="E24" s="77"/>
      <c r="F24" s="77"/>
      <c r="G24" s="77"/>
      <c r="H24" s="78"/>
    </row>
    <row r="25" spans="1:8">
      <c r="A25" s="16"/>
      <c r="B25" s="17"/>
      <c r="C25" s="77"/>
      <c r="D25" s="77"/>
      <c r="E25" s="77"/>
      <c r="F25" s="77"/>
      <c r="G25" s="77"/>
      <c r="H25" s="78"/>
    </row>
    <row r="26" spans="1:8">
      <c r="A26" s="16"/>
      <c r="B26" s="17"/>
      <c r="C26" s="77"/>
      <c r="D26" s="77"/>
      <c r="E26" s="77"/>
      <c r="F26" s="77"/>
      <c r="G26" s="77"/>
      <c r="H26" s="78"/>
    </row>
    <row r="27" spans="1:8">
      <c r="A27" s="16"/>
      <c r="B27" s="17"/>
      <c r="C27" s="77"/>
      <c r="D27" s="77"/>
      <c r="E27" s="77"/>
      <c r="F27" s="77"/>
      <c r="G27" s="77"/>
      <c r="H27" s="78"/>
    </row>
    <row r="28" spans="1:8">
      <c r="A28" s="19"/>
      <c r="H28" s="39"/>
    </row>
    <row r="29" ht="14.45" customHeight="1" spans="1:8">
      <c r="A29" s="79" t="s">
        <v>160</v>
      </c>
      <c r="B29" s="80"/>
      <c r="C29" s="80"/>
      <c r="D29" s="80"/>
      <c r="E29" s="80"/>
      <c r="F29" s="80"/>
      <c r="G29" s="80"/>
      <c r="H29" s="81"/>
    </row>
    <row r="30" spans="1:8">
      <c r="A30" s="79"/>
      <c r="B30" s="80"/>
      <c r="C30" s="80"/>
      <c r="D30" s="80"/>
      <c r="E30" s="80"/>
      <c r="F30" s="80"/>
      <c r="G30" s="80"/>
      <c r="H30" s="81"/>
    </row>
    <row r="31" spans="1:8">
      <c r="A31" s="79"/>
      <c r="B31" s="80"/>
      <c r="C31" s="80"/>
      <c r="D31" s="80"/>
      <c r="E31" s="80"/>
      <c r="F31" s="80"/>
      <c r="G31" s="80"/>
      <c r="H31" s="81"/>
    </row>
    <row r="32" spans="1:8">
      <c r="A32" s="79"/>
      <c r="B32" s="80"/>
      <c r="C32" s="80"/>
      <c r="D32" s="80"/>
      <c r="E32" s="80"/>
      <c r="F32" s="80"/>
      <c r="G32" s="80"/>
      <c r="H32" s="81"/>
    </row>
    <row r="33" spans="1:8">
      <c r="A33" s="82" t="s">
        <v>161</v>
      </c>
      <c r="B33" s="83"/>
      <c r="C33" s="83"/>
      <c r="D33" s="83"/>
      <c r="E33" s="83"/>
      <c r="F33" s="83"/>
      <c r="G33" s="83"/>
      <c r="H33" s="84"/>
    </row>
    <row r="34" spans="1:8">
      <c r="A34" s="19"/>
      <c r="H34" s="39"/>
    </row>
    <row r="35" spans="1:8">
      <c r="A35" s="85" t="s">
        <v>162</v>
      </c>
      <c r="B35" s="86"/>
      <c r="C35" s="86"/>
      <c r="D35" s="86"/>
      <c r="E35" s="87" t="s">
        <v>54</v>
      </c>
      <c r="F35" s="87"/>
      <c r="G35" s="87" t="s">
        <v>52</v>
      </c>
      <c r="H35" s="88"/>
    </row>
    <row r="36" spans="1:8">
      <c r="A36" s="89"/>
      <c r="B36" s="90"/>
      <c r="C36" s="90"/>
      <c r="D36" s="90"/>
      <c r="E36" s="87"/>
      <c r="F36" s="87"/>
      <c r="G36" s="87"/>
      <c r="H36" s="88"/>
    </row>
    <row r="37" ht="14.45" customHeight="1" spans="1:8">
      <c r="A37" s="7" t="s">
        <v>126</v>
      </c>
      <c r="B37" s="8"/>
      <c r="C37" s="8" t="s">
        <v>163</v>
      </c>
      <c r="D37" s="8"/>
      <c r="E37" s="91" t="s">
        <v>164</v>
      </c>
      <c r="F37" s="92"/>
      <c r="G37" s="8" t="str">
        <f>'ÖN KAPAK'!G13</f>
        <v>Hazır Beton Çimento Mak.San.ve Tic.Ltd.Şti.</v>
      </c>
      <c r="H37" s="34"/>
    </row>
    <row r="38" spans="1:8">
      <c r="A38" s="7"/>
      <c r="B38" s="8"/>
      <c r="C38" s="8"/>
      <c r="D38" s="8"/>
      <c r="E38" s="44"/>
      <c r="F38" s="93"/>
      <c r="G38" s="8"/>
      <c r="H38" s="34"/>
    </row>
    <row r="39" spans="1:8">
      <c r="A39" s="7"/>
      <c r="B39" s="8"/>
      <c r="C39" s="8"/>
      <c r="D39" s="8"/>
      <c r="E39" s="44"/>
      <c r="F39" s="93"/>
      <c r="G39" s="8"/>
      <c r="H39" s="34"/>
    </row>
    <row r="40" spans="1:8">
      <c r="A40" s="7"/>
      <c r="B40" s="8"/>
      <c r="C40" s="8"/>
      <c r="D40" s="8"/>
      <c r="E40" s="44"/>
      <c r="F40" s="93"/>
      <c r="G40" s="8"/>
      <c r="H40" s="34"/>
    </row>
    <row r="41" spans="1:8">
      <c r="A41" s="7"/>
      <c r="B41" s="8"/>
      <c r="C41" s="8"/>
      <c r="D41" s="8"/>
      <c r="E41" s="44"/>
      <c r="F41" s="93"/>
      <c r="G41" s="8"/>
      <c r="H41" s="34"/>
    </row>
    <row r="42" spans="1:8">
      <c r="A42" s="7"/>
      <c r="B42" s="8"/>
      <c r="C42" s="8"/>
      <c r="D42" s="8"/>
      <c r="E42" s="44"/>
      <c r="F42" s="93"/>
      <c r="G42" s="8"/>
      <c r="H42" s="34"/>
    </row>
    <row r="43" spans="1:8">
      <c r="A43" s="7"/>
      <c r="B43" s="8"/>
      <c r="C43" s="8"/>
      <c r="D43" s="8"/>
      <c r="E43" s="44"/>
      <c r="F43" s="93"/>
      <c r="G43" s="8"/>
      <c r="H43" s="34"/>
    </row>
    <row r="44" ht="15.75" spans="1:8">
      <c r="A44" s="30"/>
      <c r="B44" s="31"/>
      <c r="C44" s="31"/>
      <c r="D44" s="31"/>
      <c r="E44" s="47"/>
      <c r="F44" s="94"/>
      <c r="G44" s="31"/>
      <c r="H44" s="95"/>
    </row>
  </sheetData>
  <mergeCells count="34">
    <mergeCell ref="A1:H1"/>
    <mergeCell ref="A2:H2"/>
    <mergeCell ref="A3:C3"/>
    <mergeCell ref="D3:H3"/>
    <mergeCell ref="A4:C4"/>
    <mergeCell ref="D4:H4"/>
    <mergeCell ref="A5:C5"/>
    <mergeCell ref="D5:H5"/>
    <mergeCell ref="A6:C6"/>
    <mergeCell ref="D6:H6"/>
    <mergeCell ref="A7:C7"/>
    <mergeCell ref="D7:H7"/>
    <mergeCell ref="A8:C8"/>
    <mergeCell ref="D8:H8"/>
    <mergeCell ref="A9:C9"/>
    <mergeCell ref="D9:H9"/>
    <mergeCell ref="A10:C10"/>
    <mergeCell ref="D10:H10"/>
    <mergeCell ref="A11:C11"/>
    <mergeCell ref="D11:H11"/>
    <mergeCell ref="A12:C12"/>
    <mergeCell ref="D12:H12"/>
    <mergeCell ref="A13:C13"/>
    <mergeCell ref="D13:H13"/>
    <mergeCell ref="A15:H15"/>
    <mergeCell ref="A33:H33"/>
    <mergeCell ref="A29:H32"/>
    <mergeCell ref="A37:B44"/>
    <mergeCell ref="C37:D44"/>
    <mergeCell ref="E37:F44"/>
    <mergeCell ref="G37:H44"/>
    <mergeCell ref="E35:F36"/>
    <mergeCell ref="G35:H36"/>
    <mergeCell ref="A35:D36"/>
  </mergeCells>
  <pageMargins left="0.47" right="0.21" top="0.75" bottom="0.75" header="0.3" footer="0.3"/>
  <pageSetup paperSize="9" scale="82"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view="pageBreakPreview" zoomScaleNormal="100" workbookViewId="0">
      <selection activeCell="K29" sqref="K29:M34"/>
    </sheetView>
  </sheetViews>
  <sheetFormatPr defaultColWidth="9" defaultRowHeight="15"/>
  <cols>
    <col min="1" max="1" width="9.14285714285714" style="2" customWidth="1"/>
    <col min="2" max="2" width="12.2857142857143" style="2" customWidth="1"/>
    <col min="3" max="3" width="17.8571428571429" style="2" customWidth="1"/>
    <col min="4" max="4" width="19" style="2" customWidth="1"/>
    <col min="5" max="5" width="17" style="2" customWidth="1"/>
    <col min="6" max="6" width="16.2857142857143" style="2" customWidth="1"/>
    <col min="7" max="7" width="16.1428571428571" style="2" customWidth="1"/>
    <col min="8" max="8" width="16.2857142857143" style="2" customWidth="1"/>
    <col min="9" max="9" width="15.7142857142857" style="2" customWidth="1"/>
    <col min="10" max="10" width="18.5714285714286" style="2" customWidth="1"/>
    <col min="11" max="11" width="9.71428571428571" style="2" customWidth="1"/>
    <col min="12" max="12" width="17" style="2" customWidth="1"/>
    <col min="13" max="13" width="18.8571428571429" style="2" customWidth="1"/>
    <col min="14" max="16384" width="9.14285714285714" style="2"/>
  </cols>
  <sheetData>
    <row r="1" ht="18.75" spans="1:13">
      <c r="A1" s="3" t="s">
        <v>165</v>
      </c>
      <c r="B1" s="4"/>
      <c r="C1" s="4"/>
      <c r="D1" s="4"/>
      <c r="E1" s="4"/>
      <c r="F1" s="4"/>
      <c r="G1" s="4"/>
      <c r="H1" s="4"/>
      <c r="I1" s="4"/>
      <c r="J1" s="4"/>
      <c r="K1" s="4"/>
      <c r="L1" s="4"/>
      <c r="M1" s="32"/>
    </row>
    <row r="2" ht="18.75" spans="1:13">
      <c r="A2" s="5" t="s">
        <v>166</v>
      </c>
      <c r="B2" s="6"/>
      <c r="C2" s="6"/>
      <c r="D2" s="6"/>
      <c r="E2" s="6"/>
      <c r="F2" s="6"/>
      <c r="G2" s="6"/>
      <c r="H2" s="6"/>
      <c r="I2" s="6"/>
      <c r="J2" s="6"/>
      <c r="K2" s="6"/>
      <c r="L2" s="6"/>
      <c r="M2" s="33"/>
    </row>
    <row r="3" ht="14.45" customHeight="1" spans="1:13">
      <c r="A3" s="7" t="s">
        <v>167</v>
      </c>
      <c r="B3" s="8" t="s">
        <v>168</v>
      </c>
      <c r="C3" s="9" t="s">
        <v>169</v>
      </c>
      <c r="D3" s="10" t="s">
        <v>170</v>
      </c>
      <c r="E3" s="10" t="s">
        <v>171</v>
      </c>
      <c r="F3" s="10" t="s">
        <v>172</v>
      </c>
      <c r="G3" s="10" t="s">
        <v>171</v>
      </c>
      <c r="H3" s="10" t="s">
        <v>173</v>
      </c>
      <c r="I3" s="10" t="s">
        <v>174</v>
      </c>
      <c r="J3" s="10" t="s">
        <v>175</v>
      </c>
      <c r="K3" s="8" t="s">
        <v>176</v>
      </c>
      <c r="L3" s="8" t="s">
        <v>177</v>
      </c>
      <c r="M3" s="34" t="s">
        <v>178</v>
      </c>
    </row>
    <row r="4" ht="15.6" customHeight="1" spans="1:13">
      <c r="A4" s="7"/>
      <c r="B4" s="8"/>
      <c r="C4" s="9"/>
      <c r="D4" s="11"/>
      <c r="E4" s="11"/>
      <c r="F4" s="11"/>
      <c r="G4" s="11"/>
      <c r="H4" s="11"/>
      <c r="I4" s="11"/>
      <c r="J4" s="11"/>
      <c r="K4" s="8"/>
      <c r="L4" s="8"/>
      <c r="M4" s="34"/>
    </row>
    <row r="5" spans="1:13">
      <c r="A5" s="7"/>
      <c r="B5" s="8"/>
      <c r="C5" s="9"/>
      <c r="D5" s="12" t="s">
        <v>179</v>
      </c>
      <c r="E5" s="12" t="s">
        <v>154</v>
      </c>
      <c r="F5" s="12" t="s">
        <v>180</v>
      </c>
      <c r="G5" s="12" t="s">
        <v>180</v>
      </c>
      <c r="H5" s="12" t="s">
        <v>48</v>
      </c>
      <c r="I5" s="12" t="s">
        <v>181</v>
      </c>
      <c r="J5" s="12" t="s">
        <v>74</v>
      </c>
      <c r="K5" s="8"/>
      <c r="L5" s="8"/>
      <c r="M5" s="34"/>
    </row>
    <row r="6" s="1" customFormat="1" ht="25.5" customHeight="1" spans="1:13">
      <c r="A6" s="13">
        <v>1</v>
      </c>
      <c r="B6" s="14">
        <v>45289</v>
      </c>
      <c r="C6" s="15">
        <f>'YAPILAN İŞLER LİSTESİ'!F11</f>
        <v>145000</v>
      </c>
      <c r="D6" s="15">
        <f t="shared" ref="D6" si="0">(C6*0.03)</f>
        <v>4350</v>
      </c>
      <c r="E6" s="15">
        <f t="shared" ref="E6" si="1">C6-D6</f>
        <v>140650</v>
      </c>
      <c r="F6" s="15">
        <f t="shared" ref="F6" si="2">C6</f>
        <v>145000</v>
      </c>
      <c r="G6" s="15">
        <f t="shared" ref="G6" si="3">E6</f>
        <v>140650</v>
      </c>
      <c r="H6" s="15">
        <f>F6*0.2</f>
        <v>29000</v>
      </c>
      <c r="I6" s="15">
        <f t="shared" ref="I6" si="4">C6+H6</f>
        <v>174000</v>
      </c>
      <c r="J6" s="15">
        <f>'ARKA KAPAK'!F20</f>
        <v>1374.6</v>
      </c>
      <c r="K6" s="15"/>
      <c r="L6" s="15"/>
      <c r="M6" s="35">
        <f>I6-J6</f>
        <v>172625.4</v>
      </c>
    </row>
    <row r="7" ht="24" customHeight="1" spans="1:13">
      <c r="A7" s="16"/>
      <c r="B7" s="17"/>
      <c r="C7" s="15"/>
      <c r="D7" s="15"/>
      <c r="E7" s="15"/>
      <c r="F7" s="15"/>
      <c r="G7" s="15"/>
      <c r="H7" s="15"/>
      <c r="I7" s="15"/>
      <c r="J7" s="15"/>
      <c r="K7" s="15"/>
      <c r="L7" s="15"/>
      <c r="M7" s="35"/>
    </row>
    <row r="8" spans="1:13">
      <c r="A8" s="16"/>
      <c r="B8" s="17"/>
      <c r="C8" s="15"/>
      <c r="D8" s="15"/>
      <c r="E8" s="15"/>
      <c r="F8" s="15"/>
      <c r="G8" s="15"/>
      <c r="H8" s="15"/>
      <c r="I8" s="15"/>
      <c r="J8" s="15"/>
      <c r="K8" s="15"/>
      <c r="L8" s="15"/>
      <c r="M8" s="35"/>
    </row>
    <row r="9" spans="1:13">
      <c r="A9" s="16"/>
      <c r="B9" s="17"/>
      <c r="C9" s="15"/>
      <c r="D9" s="15"/>
      <c r="E9" s="15"/>
      <c r="F9" s="15"/>
      <c r="G9" s="15"/>
      <c r="H9" s="15"/>
      <c r="I9" s="15"/>
      <c r="J9" s="15"/>
      <c r="K9" s="15"/>
      <c r="L9" s="15"/>
      <c r="M9" s="35"/>
    </row>
    <row r="10" spans="1:13">
      <c r="A10" s="18"/>
      <c r="B10" s="17"/>
      <c r="C10" s="15"/>
      <c r="D10" s="15"/>
      <c r="E10" s="15"/>
      <c r="F10" s="15"/>
      <c r="G10" s="15"/>
      <c r="H10" s="15"/>
      <c r="I10" s="15"/>
      <c r="J10" s="15"/>
      <c r="K10" s="15"/>
      <c r="L10" s="15"/>
      <c r="M10" s="35"/>
    </row>
    <row r="11" spans="1:13">
      <c r="A11" s="16"/>
      <c r="B11" s="17"/>
      <c r="C11" s="15"/>
      <c r="D11" s="15"/>
      <c r="E11" s="15"/>
      <c r="F11" s="15"/>
      <c r="G11" s="15"/>
      <c r="H11" s="15"/>
      <c r="I11" s="15"/>
      <c r="J11" s="15"/>
      <c r="K11" s="15"/>
      <c r="L11" s="15"/>
      <c r="M11" s="35"/>
    </row>
    <row r="12" spans="1:13">
      <c r="A12" s="16"/>
      <c r="B12" s="17"/>
      <c r="C12" s="15"/>
      <c r="D12" s="15"/>
      <c r="E12" s="15"/>
      <c r="F12" s="15"/>
      <c r="G12" s="15"/>
      <c r="H12" s="15"/>
      <c r="I12" s="15"/>
      <c r="J12" s="15"/>
      <c r="K12" s="15"/>
      <c r="L12" s="15"/>
      <c r="M12" s="35"/>
    </row>
    <row r="13" spans="1:13">
      <c r="A13" s="16"/>
      <c r="B13" s="17"/>
      <c r="C13" s="15"/>
      <c r="D13" s="15"/>
      <c r="E13" s="15"/>
      <c r="F13" s="15"/>
      <c r="G13" s="15"/>
      <c r="H13" s="15"/>
      <c r="I13" s="15"/>
      <c r="J13" s="15"/>
      <c r="K13" s="15"/>
      <c r="L13" s="15"/>
      <c r="M13" s="35"/>
    </row>
    <row r="14" spans="1:13">
      <c r="A14" s="16"/>
      <c r="B14" s="17"/>
      <c r="C14" s="15"/>
      <c r="D14" s="15"/>
      <c r="E14" s="15"/>
      <c r="F14" s="15"/>
      <c r="G14" s="15"/>
      <c r="H14" s="15"/>
      <c r="I14" s="15"/>
      <c r="J14" s="15"/>
      <c r="K14" s="15"/>
      <c r="L14" s="15"/>
      <c r="M14" s="35"/>
    </row>
    <row r="15" spans="1:13">
      <c r="A15" s="19"/>
      <c r="B15" s="20"/>
      <c r="C15" s="20"/>
      <c r="D15" s="20"/>
      <c r="E15" s="20"/>
      <c r="F15" s="20"/>
      <c r="G15" s="20"/>
      <c r="H15" s="20"/>
      <c r="I15" s="20"/>
      <c r="J15" s="20"/>
      <c r="K15" s="20"/>
      <c r="L15" s="20"/>
      <c r="M15" s="36"/>
    </row>
    <row r="16" spans="1:13">
      <c r="A16" s="19"/>
      <c r="B16" s="20"/>
      <c r="C16" s="20"/>
      <c r="D16" s="20"/>
      <c r="E16" s="20"/>
      <c r="F16" s="20"/>
      <c r="G16" s="20"/>
      <c r="H16" s="20"/>
      <c r="I16" s="20"/>
      <c r="J16" s="20"/>
      <c r="K16" s="20"/>
      <c r="L16" s="20"/>
      <c r="M16" s="36"/>
    </row>
    <row r="17" spans="1:13">
      <c r="A17" s="19"/>
      <c r="B17" s="20"/>
      <c r="C17" s="20"/>
      <c r="D17" s="20"/>
      <c r="E17" s="20"/>
      <c r="F17" s="20"/>
      <c r="G17" s="20"/>
      <c r="H17" s="20"/>
      <c r="I17" s="20"/>
      <c r="J17" s="20"/>
      <c r="K17" s="20"/>
      <c r="L17" s="20"/>
      <c r="M17" s="36"/>
    </row>
    <row r="18" spans="1:13">
      <c r="A18" s="19"/>
      <c r="B18" s="20"/>
      <c r="C18" s="20"/>
      <c r="D18" s="20"/>
      <c r="E18" s="20"/>
      <c r="F18" s="20"/>
      <c r="G18" s="20"/>
      <c r="H18" s="20"/>
      <c r="I18" s="20"/>
      <c r="J18" s="20"/>
      <c r="K18" s="20"/>
      <c r="L18" s="20"/>
      <c r="M18" s="36"/>
    </row>
    <row r="19" spans="1:13">
      <c r="A19" s="19"/>
      <c r="B19" s="20"/>
      <c r="C19" s="20"/>
      <c r="D19" s="20"/>
      <c r="E19" s="20"/>
      <c r="F19" s="20"/>
      <c r="G19" s="20"/>
      <c r="H19" s="20"/>
      <c r="I19" s="20"/>
      <c r="J19" s="20"/>
      <c r="K19" s="20"/>
      <c r="L19" s="20"/>
      <c r="M19" s="36"/>
    </row>
    <row r="20" spans="1:13">
      <c r="A20" s="19"/>
      <c r="B20" s="20"/>
      <c r="C20" s="20"/>
      <c r="D20" s="20"/>
      <c r="E20" s="20"/>
      <c r="F20" s="20"/>
      <c r="G20" s="20"/>
      <c r="H20" s="20"/>
      <c r="I20" s="20"/>
      <c r="J20" s="20"/>
      <c r="K20" s="20"/>
      <c r="L20" s="20"/>
      <c r="M20" s="36"/>
    </row>
    <row r="21" spans="1:13">
      <c r="A21" s="19"/>
      <c r="B21" s="20"/>
      <c r="C21" s="20"/>
      <c r="D21" s="20"/>
      <c r="E21" s="20"/>
      <c r="F21" s="20"/>
      <c r="G21" s="20"/>
      <c r="H21" s="20"/>
      <c r="I21" s="20"/>
      <c r="J21" s="20"/>
      <c r="K21" s="20"/>
      <c r="L21" s="20"/>
      <c r="M21" s="36"/>
    </row>
    <row r="22" spans="1:13">
      <c r="A22" s="19"/>
      <c r="B22" s="20"/>
      <c r="C22" s="20"/>
      <c r="D22" s="20"/>
      <c r="E22" s="20"/>
      <c r="F22" s="20"/>
      <c r="G22" s="20"/>
      <c r="H22" s="20"/>
      <c r="I22" s="20"/>
      <c r="J22" s="20"/>
      <c r="K22" s="20"/>
      <c r="L22" s="20"/>
      <c r="M22" s="36"/>
    </row>
    <row r="23" spans="1:13">
      <c r="A23" s="19"/>
      <c r="B23" s="20"/>
      <c r="C23" s="20"/>
      <c r="D23" s="20"/>
      <c r="E23" s="20"/>
      <c r="F23" s="20"/>
      <c r="G23" s="20"/>
      <c r="H23" s="20"/>
      <c r="I23" s="20"/>
      <c r="J23" s="20"/>
      <c r="K23" s="20"/>
      <c r="L23" s="20"/>
      <c r="M23" s="36"/>
    </row>
    <row r="24" spans="1:13">
      <c r="A24" s="19"/>
      <c r="B24" s="20"/>
      <c r="C24" s="20"/>
      <c r="D24" s="20"/>
      <c r="E24" s="20"/>
      <c r="F24" s="20"/>
      <c r="G24" s="20"/>
      <c r="H24" s="20"/>
      <c r="I24" s="20"/>
      <c r="J24" s="20"/>
      <c r="K24" s="20"/>
      <c r="L24" s="20"/>
      <c r="M24" s="36"/>
    </row>
    <row r="25" ht="15.75" spans="1:13">
      <c r="A25" s="21"/>
      <c r="B25" s="22"/>
      <c r="C25" s="22"/>
      <c r="D25" s="22"/>
      <c r="E25" s="22"/>
      <c r="F25" s="22"/>
      <c r="G25" s="22"/>
      <c r="H25" s="22"/>
      <c r="I25" s="22"/>
      <c r="J25" s="22"/>
      <c r="K25" s="22"/>
      <c r="L25" s="22"/>
      <c r="M25" s="37"/>
    </row>
    <row r="26" s="1" customFormat="1" ht="25.5" customHeight="1" spans="1:13">
      <c r="A26" s="23" t="s">
        <v>89</v>
      </c>
      <c r="B26" s="24"/>
      <c r="C26" s="25">
        <f>SUM(C6:C25)</f>
        <v>145000</v>
      </c>
      <c r="D26" s="25">
        <f t="shared" ref="D26:M26" si="5">SUM(D6:D25)</f>
        <v>4350</v>
      </c>
      <c r="E26" s="25">
        <f t="shared" si="5"/>
        <v>140650</v>
      </c>
      <c r="F26" s="25">
        <f t="shared" si="5"/>
        <v>145000</v>
      </c>
      <c r="G26" s="25">
        <f t="shared" si="5"/>
        <v>140650</v>
      </c>
      <c r="H26" s="25">
        <f t="shared" si="5"/>
        <v>29000</v>
      </c>
      <c r="I26" s="25">
        <f t="shared" si="5"/>
        <v>174000</v>
      </c>
      <c r="J26" s="25">
        <f t="shared" si="5"/>
        <v>1374.6</v>
      </c>
      <c r="K26" s="25">
        <f t="shared" si="5"/>
        <v>0</v>
      </c>
      <c r="L26" s="25">
        <f t="shared" si="5"/>
        <v>0</v>
      </c>
      <c r="M26" s="38">
        <f t="shared" si="5"/>
        <v>172625.4</v>
      </c>
    </row>
    <row r="27" ht="15.75" spans="1:13">
      <c r="A27" s="19"/>
      <c r="M27" s="39"/>
    </row>
    <row r="28" ht="24.75" customHeight="1" spans="1:13">
      <c r="A28" s="26" t="s">
        <v>162</v>
      </c>
      <c r="B28" s="27"/>
      <c r="C28" s="27"/>
      <c r="D28" s="27"/>
      <c r="E28" s="27"/>
      <c r="F28" s="27"/>
      <c r="G28" s="28"/>
      <c r="H28" s="29" t="s">
        <v>182</v>
      </c>
      <c r="I28" s="40"/>
      <c r="J28" s="41"/>
      <c r="K28" s="42" t="s">
        <v>52</v>
      </c>
      <c r="L28" s="42"/>
      <c r="M28" s="43"/>
    </row>
    <row r="29" spans="1:13">
      <c r="A29" s="7" t="s">
        <v>183</v>
      </c>
      <c r="B29" s="8"/>
      <c r="C29" s="8"/>
      <c r="D29" s="8"/>
      <c r="E29" s="8"/>
      <c r="F29" s="8"/>
      <c r="G29" s="8"/>
      <c r="H29" s="8" t="s">
        <v>184</v>
      </c>
      <c r="I29" s="8"/>
      <c r="J29" s="8"/>
      <c r="K29" s="44" t="str">
        <f>'ÖN KAPAK'!G13</f>
        <v>Hazır Beton Çimento Mak.San.ve Tic.Ltd.Şti.</v>
      </c>
      <c r="L29" s="45"/>
      <c r="M29" s="46"/>
    </row>
    <row r="30" spans="1:13">
      <c r="A30" s="7"/>
      <c r="B30" s="8"/>
      <c r="C30" s="8"/>
      <c r="D30" s="8"/>
      <c r="E30" s="8"/>
      <c r="F30" s="8"/>
      <c r="G30" s="8"/>
      <c r="H30" s="8"/>
      <c r="I30" s="8"/>
      <c r="J30" s="8"/>
      <c r="K30" s="44"/>
      <c r="L30" s="45"/>
      <c r="M30" s="46"/>
    </row>
    <row r="31" spans="1:13">
      <c r="A31" s="7"/>
      <c r="B31" s="8"/>
      <c r="C31" s="8"/>
      <c r="D31" s="8"/>
      <c r="E31" s="8"/>
      <c r="F31" s="8"/>
      <c r="G31" s="8"/>
      <c r="H31" s="8"/>
      <c r="I31" s="8"/>
      <c r="J31" s="8"/>
      <c r="K31" s="44"/>
      <c r="L31" s="45"/>
      <c r="M31" s="46"/>
    </row>
    <row r="32" spans="1:13">
      <c r="A32" s="7"/>
      <c r="B32" s="8"/>
      <c r="C32" s="8"/>
      <c r="D32" s="8"/>
      <c r="E32" s="8"/>
      <c r="F32" s="8"/>
      <c r="G32" s="8"/>
      <c r="H32" s="8"/>
      <c r="I32" s="8"/>
      <c r="J32" s="8"/>
      <c r="K32" s="44"/>
      <c r="L32" s="45"/>
      <c r="M32" s="46"/>
    </row>
    <row r="33" spans="1:13">
      <c r="A33" s="7"/>
      <c r="B33" s="8"/>
      <c r="C33" s="8"/>
      <c r="D33" s="8"/>
      <c r="E33" s="8"/>
      <c r="F33" s="8"/>
      <c r="G33" s="8"/>
      <c r="H33" s="8"/>
      <c r="I33" s="8"/>
      <c r="J33" s="8"/>
      <c r="K33" s="44"/>
      <c r="L33" s="45"/>
      <c r="M33" s="46"/>
    </row>
    <row r="34" ht="15.75" spans="1:13">
      <c r="A34" s="30"/>
      <c r="B34" s="31"/>
      <c r="C34" s="31"/>
      <c r="D34" s="31"/>
      <c r="E34" s="31"/>
      <c r="F34" s="31"/>
      <c r="G34" s="31"/>
      <c r="H34" s="31"/>
      <c r="I34" s="31"/>
      <c r="J34" s="31"/>
      <c r="K34" s="47"/>
      <c r="L34" s="48"/>
      <c r="M34" s="49"/>
    </row>
  </sheetData>
  <mergeCells count="22">
    <mergeCell ref="A1:M1"/>
    <mergeCell ref="A2:M2"/>
    <mergeCell ref="A28:G28"/>
    <mergeCell ref="H28:J28"/>
    <mergeCell ref="K28:M28"/>
    <mergeCell ref="A3:A5"/>
    <mergeCell ref="B3:B5"/>
    <mergeCell ref="C3:C5"/>
    <mergeCell ref="D3:D4"/>
    <mergeCell ref="E3:E4"/>
    <mergeCell ref="F3:F4"/>
    <mergeCell ref="G3:G4"/>
    <mergeCell ref="H3:H4"/>
    <mergeCell ref="I3:I4"/>
    <mergeCell ref="J3:J4"/>
    <mergeCell ref="K3:K5"/>
    <mergeCell ref="L3:L5"/>
    <mergeCell ref="M3:M5"/>
    <mergeCell ref="A29:D34"/>
    <mergeCell ref="E29:G34"/>
    <mergeCell ref="H29:J34"/>
    <mergeCell ref="K29:M34"/>
  </mergeCells>
  <pageMargins left="0.7" right="0.43" top="0.75" bottom="0.75" header="0.3" footer="0.3"/>
  <pageSetup paperSize="9" scale="6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ÖN KAPAK</vt:lpstr>
      <vt:lpstr>İCMAL</vt:lpstr>
      <vt:lpstr>HAKEDİŞ ÖZETİ</vt:lpstr>
      <vt:lpstr>YAPILAN İŞLER LİSTESİ</vt:lpstr>
      <vt:lpstr>ARKA KAPAK</vt:lpstr>
      <vt:lpstr>SİGORTA POLİÇE FORMU</vt:lpstr>
      <vt:lpstr>DENGELEME CETVELİ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İlyas Bozdemir</cp:lastModifiedBy>
  <dcterms:created xsi:type="dcterms:W3CDTF">2006-09-16T00:00:00Z</dcterms:created>
  <dcterms:modified xsi:type="dcterms:W3CDTF">2026-08-30T09:05:06Z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15D8F1046BAA44C4BF4BC01212F271C2_12</vt:lpwstr>
  </property>
  <property fmtid="{D5CDD505-2E9C-101B-9397-08002B2CF9AE}" pid="3" name="KSOProductBuildVer">
    <vt:lpwstr>1033-12.2.0.22549</vt:lpwstr>
  </property>
</Properties>
</file>